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17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ml.chartsha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360" yWindow="240" windowWidth="6075" windowHeight="4710" tabRatio="824"/>
  </bookViews>
  <sheets>
    <sheet name="Mon" sheetId="5" r:id="rId1"/>
    <sheet name="Tues" sheetId="4" r:id="rId2"/>
    <sheet name="Wed" sheetId="6" r:id="rId3"/>
    <sheet name="Thurs" sheetId="7" r:id="rId4"/>
    <sheet name=" Fri " sheetId="8" r:id="rId5"/>
    <sheet name="Sat" sheetId="9" r:id="rId6"/>
    <sheet name="Sun" sheetId="10" r:id="rId7"/>
    <sheet name="Weekday Avg" sheetId="12" r:id="rId8"/>
    <sheet name="Weekday Lines" sheetId="15" r:id="rId9"/>
    <sheet name="Weekend Avg" sheetId="13" r:id="rId10"/>
    <sheet name="Week Avg" sheetId="14" r:id="rId11"/>
    <sheet name="Week Line" sheetId="21" r:id="rId12"/>
    <sheet name="Pie Time" sheetId="18" r:id="rId13"/>
    <sheet name="Pie All" sheetId="20" r:id="rId14"/>
    <sheet name="Basal Rates" sheetId="17" r:id="rId15"/>
    <sheet name="Data" sheetId="11" r:id="rId16"/>
    <sheet name="ReadMe" sheetId="16" r:id="rId17"/>
  </sheets>
  <definedNames>
    <definedName name="_xlnm.Print_Area" localSheetId="4">' Fri '!$A$1:$AC$47</definedName>
    <definedName name="_xlnm.Print_Area" localSheetId="0">Mon!$A$1:$AC$47</definedName>
    <definedName name="_xlnm.Print_Area" localSheetId="5">Sat!$A$1:$AC$47</definedName>
    <definedName name="_xlnm.Print_Area" localSheetId="6">Sun!$A$1:$AC$47</definedName>
    <definedName name="_xlnm.Print_Area" localSheetId="3">Thurs!$A$1:$AC$47</definedName>
    <definedName name="_xlnm.Print_Area" localSheetId="1">Tues!$A$1:$AC$47</definedName>
    <definedName name="_xlnm.Print_Area" localSheetId="2">Wed!$A$1:$AC$47</definedName>
  </definedNames>
  <calcPr calcId="125725"/>
</workbook>
</file>

<file path=xl/calcChain.xml><?xml version="1.0" encoding="utf-8"?>
<calcChain xmlns="http://schemas.openxmlformats.org/spreadsheetml/2006/main">
  <c r="B3" i="21"/>
  <c r="D3" s="1"/>
  <c r="H97" i="11"/>
  <c r="G97"/>
  <c r="B697" s="1"/>
  <c r="F97"/>
  <c r="E97"/>
  <c r="B505" s="1"/>
  <c r="D97"/>
  <c r="C97"/>
  <c r="B313" s="1"/>
  <c r="B97"/>
  <c r="H96"/>
  <c r="O96" s="1"/>
  <c r="G96"/>
  <c r="F96"/>
  <c r="E96"/>
  <c r="D96"/>
  <c r="C96"/>
  <c r="B96"/>
  <c r="H95"/>
  <c r="G95"/>
  <c r="B695" s="1"/>
  <c r="F95"/>
  <c r="E95"/>
  <c r="B503" s="1"/>
  <c r="D95"/>
  <c r="C95"/>
  <c r="B311" s="1"/>
  <c r="B95"/>
  <c r="H94"/>
  <c r="O94" s="1"/>
  <c r="G94"/>
  <c r="F94"/>
  <c r="E94"/>
  <c r="D94"/>
  <c r="C94"/>
  <c r="B94"/>
  <c r="S25" s="1"/>
  <c r="H93"/>
  <c r="G93"/>
  <c r="F93"/>
  <c r="E93"/>
  <c r="B501" s="1"/>
  <c r="D93"/>
  <c r="C93"/>
  <c r="B309" s="1"/>
  <c r="B93"/>
  <c r="H92"/>
  <c r="G92"/>
  <c r="F92"/>
  <c r="E92"/>
  <c r="D92"/>
  <c r="C92"/>
  <c r="B92"/>
  <c r="H91"/>
  <c r="G91"/>
  <c r="F91"/>
  <c r="E91"/>
  <c r="B499" s="1"/>
  <c r="D91"/>
  <c r="C91"/>
  <c r="B307" s="1"/>
  <c r="B91"/>
  <c r="H90"/>
  <c r="G90"/>
  <c r="F90"/>
  <c r="E90"/>
  <c r="D90"/>
  <c r="C90"/>
  <c r="B90"/>
  <c r="H89"/>
  <c r="G89"/>
  <c r="B689" s="1"/>
  <c r="F89"/>
  <c r="E89"/>
  <c r="B497" s="1"/>
  <c r="D89"/>
  <c r="C89"/>
  <c r="B305" s="1"/>
  <c r="B89"/>
  <c r="H88"/>
  <c r="O88" s="1"/>
  <c r="G88"/>
  <c r="F88"/>
  <c r="E88"/>
  <c r="D88"/>
  <c r="C88"/>
  <c r="B88"/>
  <c r="H87"/>
  <c r="G87"/>
  <c r="F87"/>
  <c r="E87"/>
  <c r="B495" s="1"/>
  <c r="D87"/>
  <c r="C87"/>
  <c r="B303" s="1"/>
  <c r="B87"/>
  <c r="H86"/>
  <c r="B782" s="1"/>
  <c r="G86"/>
  <c r="F86"/>
  <c r="E86"/>
  <c r="D86"/>
  <c r="C86"/>
  <c r="B86"/>
  <c r="U23" s="1"/>
  <c r="H85"/>
  <c r="G85"/>
  <c r="F85"/>
  <c r="E85"/>
  <c r="B493" s="1"/>
  <c r="D85"/>
  <c r="C85"/>
  <c r="B301" s="1"/>
  <c r="B85"/>
  <c r="H84"/>
  <c r="B780" s="1"/>
  <c r="G84"/>
  <c r="F84"/>
  <c r="E84"/>
  <c r="D84"/>
  <c r="C84"/>
  <c r="B84"/>
  <c r="H83"/>
  <c r="G83"/>
  <c r="B683" s="1"/>
  <c r="F83"/>
  <c r="E83"/>
  <c r="B491" s="1"/>
  <c r="D83"/>
  <c r="C83"/>
  <c r="B299" s="1"/>
  <c r="B83"/>
  <c r="H82"/>
  <c r="O82" s="1"/>
  <c r="G82"/>
  <c r="F82"/>
  <c r="E82"/>
  <c r="D82"/>
  <c r="C82"/>
  <c r="B82"/>
  <c r="H81"/>
  <c r="G81"/>
  <c r="B681" s="1"/>
  <c r="F81"/>
  <c r="E81"/>
  <c r="B489" s="1"/>
  <c r="D81"/>
  <c r="C81"/>
  <c r="B297" s="1"/>
  <c r="B81"/>
  <c r="H80"/>
  <c r="O80" s="1"/>
  <c r="G80"/>
  <c r="F80"/>
  <c r="B584" s="1"/>
  <c r="E80"/>
  <c r="D80"/>
  <c r="C80"/>
  <c r="B80"/>
  <c r="H79"/>
  <c r="G79"/>
  <c r="B679" s="1"/>
  <c r="F79"/>
  <c r="E79"/>
  <c r="B487" s="1"/>
  <c r="D79"/>
  <c r="C79"/>
  <c r="B295" s="1"/>
  <c r="B79"/>
  <c r="H78"/>
  <c r="O78" s="1"/>
  <c r="G78"/>
  <c r="F78"/>
  <c r="B582" s="1"/>
  <c r="E78"/>
  <c r="D78"/>
  <c r="C78"/>
  <c r="B78"/>
  <c r="S21" s="1"/>
  <c r="H77"/>
  <c r="G77"/>
  <c r="F77"/>
  <c r="E77"/>
  <c r="B485" s="1"/>
  <c r="D77"/>
  <c r="C77"/>
  <c r="B293" s="1"/>
  <c r="B77"/>
  <c r="H76"/>
  <c r="B772" s="1"/>
  <c r="G76"/>
  <c r="F76"/>
  <c r="B580" s="1"/>
  <c r="E76"/>
  <c r="D76"/>
  <c r="C76"/>
  <c r="B76"/>
  <c r="H75"/>
  <c r="G75"/>
  <c r="F75"/>
  <c r="E75"/>
  <c r="B483" s="1"/>
  <c r="D75"/>
  <c r="C75"/>
  <c r="B291" s="1"/>
  <c r="B75"/>
  <c r="H74"/>
  <c r="B770" s="1"/>
  <c r="G74"/>
  <c r="F74"/>
  <c r="B578" s="1"/>
  <c r="E74"/>
  <c r="D74"/>
  <c r="B386" s="1"/>
  <c r="C74"/>
  <c r="B74"/>
  <c r="H73"/>
  <c r="G73"/>
  <c r="B673" s="1"/>
  <c r="F73"/>
  <c r="E73"/>
  <c r="B481" s="1"/>
  <c r="D73"/>
  <c r="C73"/>
  <c r="B289" s="1"/>
  <c r="B73"/>
  <c r="H72"/>
  <c r="O72" s="1"/>
  <c r="G72"/>
  <c r="F72"/>
  <c r="B576" s="1"/>
  <c r="E72"/>
  <c r="D72"/>
  <c r="B384" s="1"/>
  <c r="C72"/>
  <c r="B72"/>
  <c r="H71"/>
  <c r="G71"/>
  <c r="F71"/>
  <c r="E71"/>
  <c r="B479" s="1"/>
  <c r="D71"/>
  <c r="C71"/>
  <c r="B287" s="1"/>
  <c r="B71"/>
  <c r="H70"/>
  <c r="B766" s="1"/>
  <c r="G70"/>
  <c r="F70"/>
  <c r="B574" s="1"/>
  <c r="E70"/>
  <c r="D70"/>
  <c r="B382" s="1"/>
  <c r="C70"/>
  <c r="B70"/>
  <c r="U19" s="1"/>
  <c r="H69"/>
  <c r="G69"/>
  <c r="F69"/>
  <c r="E69"/>
  <c r="B477" s="1"/>
  <c r="D69"/>
  <c r="C69"/>
  <c r="B285" s="1"/>
  <c r="B69"/>
  <c r="H68"/>
  <c r="B764" s="1"/>
  <c r="G68"/>
  <c r="F68"/>
  <c r="B572" s="1"/>
  <c r="E68"/>
  <c r="D68"/>
  <c r="B380" s="1"/>
  <c r="C68"/>
  <c r="B68"/>
  <c r="H67"/>
  <c r="G67"/>
  <c r="F67"/>
  <c r="E67"/>
  <c r="B475" s="1"/>
  <c r="D67"/>
  <c r="C67"/>
  <c r="B283" s="1"/>
  <c r="B67"/>
  <c r="H66"/>
  <c r="B762" s="1"/>
  <c r="G66"/>
  <c r="F66"/>
  <c r="B570" s="1"/>
  <c r="E66"/>
  <c r="D66"/>
  <c r="B378" s="1"/>
  <c r="C66"/>
  <c r="B66"/>
  <c r="H65"/>
  <c r="G65"/>
  <c r="B665" s="1"/>
  <c r="F65"/>
  <c r="E65"/>
  <c r="B473" s="1"/>
  <c r="D65"/>
  <c r="C65"/>
  <c r="B281" s="1"/>
  <c r="B65"/>
  <c r="H64"/>
  <c r="O64" s="1"/>
  <c r="G64"/>
  <c r="F64"/>
  <c r="B568" s="1"/>
  <c r="E64"/>
  <c r="D64"/>
  <c r="B376" s="1"/>
  <c r="C64"/>
  <c r="B64"/>
  <c r="B184" s="1"/>
  <c r="H63"/>
  <c r="G63"/>
  <c r="B663" s="1"/>
  <c r="F63"/>
  <c r="E63"/>
  <c r="B471" s="1"/>
  <c r="D63"/>
  <c r="C63"/>
  <c r="B63"/>
  <c r="H62"/>
  <c r="O62" s="1"/>
  <c r="G62"/>
  <c r="F62"/>
  <c r="B566" s="1"/>
  <c r="E62"/>
  <c r="D62"/>
  <c r="B374" s="1"/>
  <c r="C62"/>
  <c r="B62"/>
  <c r="B182" s="1"/>
  <c r="H61"/>
  <c r="G61"/>
  <c r="B661" s="1"/>
  <c r="F61"/>
  <c r="E61"/>
  <c r="B469" s="1"/>
  <c r="D61"/>
  <c r="C61"/>
  <c r="B277" s="1"/>
  <c r="B61"/>
  <c r="H60"/>
  <c r="O60" s="1"/>
  <c r="G60"/>
  <c r="F60"/>
  <c r="B564" s="1"/>
  <c r="E60"/>
  <c r="D60"/>
  <c r="B372" s="1"/>
  <c r="C60"/>
  <c r="B60"/>
  <c r="B180" s="1"/>
  <c r="H59"/>
  <c r="G59"/>
  <c r="B659" s="1"/>
  <c r="F59"/>
  <c r="E59"/>
  <c r="B467" s="1"/>
  <c r="D59"/>
  <c r="C59"/>
  <c r="B275" s="1"/>
  <c r="B59"/>
  <c r="H58"/>
  <c r="O58" s="1"/>
  <c r="G58"/>
  <c r="F58"/>
  <c r="B562" s="1"/>
  <c r="E58"/>
  <c r="D58"/>
  <c r="B370" s="1"/>
  <c r="C58"/>
  <c r="B58"/>
  <c r="B178" s="1"/>
  <c r="H57"/>
  <c r="G57"/>
  <c r="B657" s="1"/>
  <c r="F57"/>
  <c r="E57"/>
  <c r="B465" s="1"/>
  <c r="D57"/>
  <c r="C57"/>
  <c r="B273" s="1"/>
  <c r="B57"/>
  <c r="H56"/>
  <c r="O56" s="1"/>
  <c r="G56"/>
  <c r="F56"/>
  <c r="B560" s="1"/>
  <c r="E56"/>
  <c r="D56"/>
  <c r="B368" s="1"/>
  <c r="C56"/>
  <c r="B56"/>
  <c r="B176" s="1"/>
  <c r="H55"/>
  <c r="G55"/>
  <c r="B655" s="1"/>
  <c r="F55"/>
  <c r="E55"/>
  <c r="B463" s="1"/>
  <c r="D55"/>
  <c r="C55"/>
  <c r="B271" s="1"/>
  <c r="B55"/>
  <c r="H54"/>
  <c r="O54" s="1"/>
  <c r="G54"/>
  <c r="F54"/>
  <c r="B558" s="1"/>
  <c r="E54"/>
  <c r="D54"/>
  <c r="B366" s="1"/>
  <c r="C54"/>
  <c r="B54"/>
  <c r="U15" s="1"/>
  <c r="H53"/>
  <c r="G53"/>
  <c r="F53"/>
  <c r="E53"/>
  <c r="B461" s="1"/>
  <c r="D53"/>
  <c r="C53"/>
  <c r="B269" s="1"/>
  <c r="B53"/>
  <c r="H52"/>
  <c r="B748" s="1"/>
  <c r="G52"/>
  <c r="F52"/>
  <c r="B556" s="1"/>
  <c r="E52"/>
  <c r="D52"/>
  <c r="B364" s="1"/>
  <c r="C52"/>
  <c r="B52"/>
  <c r="B172" s="1"/>
  <c r="H51"/>
  <c r="G51"/>
  <c r="B651" s="1"/>
  <c r="F51"/>
  <c r="E51"/>
  <c r="B459" s="1"/>
  <c r="D51"/>
  <c r="C51"/>
  <c r="B267" s="1"/>
  <c r="B51"/>
  <c r="H50"/>
  <c r="O50" s="1"/>
  <c r="G50"/>
  <c r="F50"/>
  <c r="B554" s="1"/>
  <c r="E50"/>
  <c r="D50"/>
  <c r="B362" s="1"/>
  <c r="C50"/>
  <c r="B50"/>
  <c r="H49"/>
  <c r="G49"/>
  <c r="B649" s="1"/>
  <c r="F49"/>
  <c r="E49"/>
  <c r="B457" s="1"/>
  <c r="D49"/>
  <c r="C49"/>
  <c r="B265" s="1"/>
  <c r="B49"/>
  <c r="H48"/>
  <c r="O48" s="1"/>
  <c r="G48"/>
  <c r="F48"/>
  <c r="B552" s="1"/>
  <c r="E48"/>
  <c r="D48"/>
  <c r="B360" s="1"/>
  <c r="C48"/>
  <c r="B48"/>
  <c r="B168" s="1"/>
  <c r="H47"/>
  <c r="G47"/>
  <c r="B647" s="1"/>
  <c r="F47"/>
  <c r="E47"/>
  <c r="B455" s="1"/>
  <c r="D47"/>
  <c r="C47"/>
  <c r="B263" s="1"/>
  <c r="B47"/>
  <c r="H46"/>
  <c r="O46" s="1"/>
  <c r="G46"/>
  <c r="F46"/>
  <c r="B550" s="1"/>
  <c r="E46"/>
  <c r="D46"/>
  <c r="B358" s="1"/>
  <c r="C46"/>
  <c r="B46"/>
  <c r="H45"/>
  <c r="G45"/>
  <c r="F45"/>
  <c r="E45"/>
  <c r="B453" s="1"/>
  <c r="D45"/>
  <c r="C45"/>
  <c r="B261" s="1"/>
  <c r="B45"/>
  <c r="H44"/>
  <c r="B740" s="1"/>
  <c r="G44"/>
  <c r="F44"/>
  <c r="B548" s="1"/>
  <c r="E44"/>
  <c r="D44"/>
  <c r="B356" s="1"/>
  <c r="C44"/>
  <c r="B44"/>
  <c r="B164" s="1"/>
  <c r="H43"/>
  <c r="G43"/>
  <c r="F43"/>
  <c r="E43"/>
  <c r="B451" s="1"/>
  <c r="D43"/>
  <c r="C43"/>
  <c r="B259" s="1"/>
  <c r="B43"/>
  <c r="H42"/>
  <c r="B738" s="1"/>
  <c r="G42"/>
  <c r="F42"/>
  <c r="B546" s="1"/>
  <c r="E42"/>
  <c r="D42"/>
  <c r="B354" s="1"/>
  <c r="C42"/>
  <c r="B42"/>
  <c r="B162" s="1"/>
  <c r="H41"/>
  <c r="G41"/>
  <c r="B641" s="1"/>
  <c r="F41"/>
  <c r="E41"/>
  <c r="B449" s="1"/>
  <c r="D41"/>
  <c r="C41"/>
  <c r="B257" s="1"/>
  <c r="B41"/>
  <c r="H40"/>
  <c r="O40" s="1"/>
  <c r="G40"/>
  <c r="F40"/>
  <c r="B544" s="1"/>
  <c r="E40"/>
  <c r="D40"/>
  <c r="B352" s="1"/>
  <c r="C40"/>
  <c r="B40"/>
  <c r="B160" s="1"/>
  <c r="H39"/>
  <c r="G39"/>
  <c r="B639" s="1"/>
  <c r="F39"/>
  <c r="E39"/>
  <c r="B447" s="1"/>
  <c r="D39"/>
  <c r="C39"/>
  <c r="B255" s="1"/>
  <c r="B39"/>
  <c r="H38"/>
  <c r="O38" s="1"/>
  <c r="G38"/>
  <c r="F38"/>
  <c r="B542" s="1"/>
  <c r="E38"/>
  <c r="D38"/>
  <c r="B350" s="1"/>
  <c r="C38"/>
  <c r="B38"/>
  <c r="U11" s="1"/>
  <c r="H37"/>
  <c r="G37"/>
  <c r="B637" s="1"/>
  <c r="F37"/>
  <c r="E37"/>
  <c r="B445" s="1"/>
  <c r="D37"/>
  <c r="C37"/>
  <c r="B253" s="1"/>
  <c r="B37"/>
  <c r="H36"/>
  <c r="O36" s="1"/>
  <c r="G36"/>
  <c r="F36"/>
  <c r="B540" s="1"/>
  <c r="E36"/>
  <c r="D36"/>
  <c r="B348" s="1"/>
  <c r="C36"/>
  <c r="B36"/>
  <c r="B156" s="1"/>
  <c r="H35"/>
  <c r="G35"/>
  <c r="B635" s="1"/>
  <c r="F35"/>
  <c r="E35"/>
  <c r="B443" s="1"/>
  <c r="D35"/>
  <c r="C35"/>
  <c r="B251" s="1"/>
  <c r="B35"/>
  <c r="H34"/>
  <c r="O34" s="1"/>
  <c r="G34"/>
  <c r="F34"/>
  <c r="B538" s="1"/>
  <c r="E34"/>
  <c r="D34"/>
  <c r="B346" s="1"/>
  <c r="C34"/>
  <c r="B34"/>
  <c r="H33"/>
  <c r="G33"/>
  <c r="F33"/>
  <c r="E33"/>
  <c r="B441" s="1"/>
  <c r="D33"/>
  <c r="C33"/>
  <c r="B249" s="1"/>
  <c r="B33"/>
  <c r="H32"/>
  <c r="B728" s="1"/>
  <c r="G32"/>
  <c r="F32"/>
  <c r="B536" s="1"/>
  <c r="E32"/>
  <c r="D32"/>
  <c r="B344" s="1"/>
  <c r="C32"/>
  <c r="B32"/>
  <c r="B152" s="1"/>
  <c r="H31"/>
  <c r="G31"/>
  <c r="F31"/>
  <c r="E31"/>
  <c r="B439" s="1"/>
  <c r="D31"/>
  <c r="C31"/>
  <c r="B247" s="1"/>
  <c r="B31"/>
  <c r="H30"/>
  <c r="B726" s="1"/>
  <c r="G30"/>
  <c r="F30"/>
  <c r="B534" s="1"/>
  <c r="E30"/>
  <c r="D30"/>
  <c r="B342" s="1"/>
  <c r="C30"/>
  <c r="B30"/>
  <c r="S9" s="1"/>
  <c r="H29"/>
  <c r="G29"/>
  <c r="F29"/>
  <c r="E29"/>
  <c r="B437" s="1"/>
  <c r="D29"/>
  <c r="C29"/>
  <c r="B245" s="1"/>
  <c r="B29"/>
  <c r="H28"/>
  <c r="O28" s="1"/>
  <c r="G28"/>
  <c r="F28"/>
  <c r="B532" s="1"/>
  <c r="E28"/>
  <c r="D28"/>
  <c r="B340" s="1"/>
  <c r="C28"/>
  <c r="B28"/>
  <c r="B148" s="1"/>
  <c r="H27"/>
  <c r="G27"/>
  <c r="B627" s="1"/>
  <c r="F27"/>
  <c r="E27"/>
  <c r="B435" s="1"/>
  <c r="D27"/>
  <c r="C27"/>
  <c r="B27"/>
  <c r="B147" s="1"/>
  <c r="H26"/>
  <c r="B722" s="1"/>
  <c r="G26"/>
  <c r="F26"/>
  <c r="B530" s="1"/>
  <c r="E26"/>
  <c r="D26"/>
  <c r="B338" s="1"/>
  <c r="C26"/>
  <c r="B26"/>
  <c r="H25"/>
  <c r="G25"/>
  <c r="B625" s="1"/>
  <c r="F25"/>
  <c r="E25"/>
  <c r="B433" s="1"/>
  <c r="D25"/>
  <c r="C25"/>
  <c r="B25"/>
  <c r="H24"/>
  <c r="O24" s="1"/>
  <c r="G24"/>
  <c r="F24"/>
  <c r="B528" s="1"/>
  <c r="E24"/>
  <c r="D24"/>
  <c r="B336" s="1"/>
  <c r="C24"/>
  <c r="B24"/>
  <c r="P24" s="1"/>
  <c r="H23"/>
  <c r="G23"/>
  <c r="F23"/>
  <c r="E23"/>
  <c r="B431" s="1"/>
  <c r="D23"/>
  <c r="C23"/>
  <c r="B23"/>
  <c r="H22"/>
  <c r="B718" s="1"/>
  <c r="G22"/>
  <c r="F22"/>
  <c r="B526" s="1"/>
  <c r="E22"/>
  <c r="D22"/>
  <c r="B334" s="1"/>
  <c r="C22"/>
  <c r="B22"/>
  <c r="H21"/>
  <c r="G21"/>
  <c r="B621" s="1"/>
  <c r="F21"/>
  <c r="E21"/>
  <c r="B429" s="1"/>
  <c r="D21"/>
  <c r="C21"/>
  <c r="B21"/>
  <c r="H20"/>
  <c r="O20" s="1"/>
  <c r="G20"/>
  <c r="F20"/>
  <c r="B524" s="1"/>
  <c r="E20"/>
  <c r="D20"/>
  <c r="B332" s="1"/>
  <c r="C20"/>
  <c r="B20"/>
  <c r="P20" s="1"/>
  <c r="H19"/>
  <c r="G19"/>
  <c r="B619" s="1"/>
  <c r="F19"/>
  <c r="E19"/>
  <c r="B427" s="1"/>
  <c r="D19"/>
  <c r="C19"/>
  <c r="B19"/>
  <c r="H18"/>
  <c r="O18" s="1"/>
  <c r="G18"/>
  <c r="F18"/>
  <c r="B522" s="1"/>
  <c r="E18"/>
  <c r="D18"/>
  <c r="B330" s="1"/>
  <c r="C18"/>
  <c r="B18"/>
  <c r="H17"/>
  <c r="G17"/>
  <c r="B617" s="1"/>
  <c r="F17"/>
  <c r="E17"/>
  <c r="B425" s="1"/>
  <c r="D17"/>
  <c r="C17"/>
  <c r="B17"/>
  <c r="H16"/>
  <c r="B712" s="1"/>
  <c r="G16"/>
  <c r="F16"/>
  <c r="B520" s="1"/>
  <c r="E16"/>
  <c r="D16"/>
  <c r="B328" s="1"/>
  <c r="C16"/>
  <c r="B16"/>
  <c r="P16" s="1"/>
  <c r="H15"/>
  <c r="G15"/>
  <c r="F15"/>
  <c r="E15"/>
  <c r="B423" s="1"/>
  <c r="D15"/>
  <c r="C15"/>
  <c r="B15"/>
  <c r="H14"/>
  <c r="O14" s="1"/>
  <c r="G14"/>
  <c r="F14"/>
  <c r="B518" s="1"/>
  <c r="E14"/>
  <c r="D14"/>
  <c r="B326" s="1"/>
  <c r="C14"/>
  <c r="B14"/>
  <c r="H13"/>
  <c r="G13"/>
  <c r="F13"/>
  <c r="E13"/>
  <c r="B421" s="1"/>
  <c r="D13"/>
  <c r="C13"/>
  <c r="B13"/>
  <c r="H12"/>
  <c r="B708" s="1"/>
  <c r="G12"/>
  <c r="F12"/>
  <c r="B516" s="1"/>
  <c r="E12"/>
  <c r="D12"/>
  <c r="B324" s="1"/>
  <c r="C12"/>
  <c r="B12"/>
  <c r="P12" s="1"/>
  <c r="H11"/>
  <c r="G11"/>
  <c r="F11"/>
  <c r="E11"/>
  <c r="B419" s="1"/>
  <c r="D11"/>
  <c r="C11"/>
  <c r="B11"/>
  <c r="H10"/>
  <c r="B706" s="1"/>
  <c r="G10"/>
  <c r="F10"/>
  <c r="B514" s="1"/>
  <c r="E10"/>
  <c r="D10"/>
  <c r="B322" s="1"/>
  <c r="C10"/>
  <c r="B10"/>
  <c r="N10" s="1"/>
  <c r="H9"/>
  <c r="G9"/>
  <c r="F9"/>
  <c r="E9"/>
  <c r="B417" s="1"/>
  <c r="D9"/>
  <c r="C9"/>
  <c r="B9"/>
  <c r="H8"/>
  <c r="B704" s="1"/>
  <c r="G8"/>
  <c r="F8"/>
  <c r="B512" s="1"/>
  <c r="E8"/>
  <c r="D8"/>
  <c r="B320" s="1"/>
  <c r="C8"/>
  <c r="B8"/>
  <c r="P8" s="1"/>
  <c r="H7"/>
  <c r="G7"/>
  <c r="F7"/>
  <c r="B511" s="1"/>
  <c r="E7"/>
  <c r="B415" s="1"/>
  <c r="D7"/>
  <c r="C7"/>
  <c r="N7" s="1"/>
  <c r="B7"/>
  <c r="H6"/>
  <c r="B702" s="1"/>
  <c r="G6"/>
  <c r="F6"/>
  <c r="B510" s="1"/>
  <c r="E6"/>
  <c r="D6"/>
  <c r="B318" s="1"/>
  <c r="C6"/>
  <c r="B6"/>
  <c r="S3" s="1"/>
  <c r="H5"/>
  <c r="G5"/>
  <c r="B605" s="1"/>
  <c r="F5"/>
  <c r="E5"/>
  <c r="B413" s="1"/>
  <c r="D5"/>
  <c r="C5"/>
  <c r="P5" s="1"/>
  <c r="B5"/>
  <c r="H4"/>
  <c r="O4" s="1"/>
  <c r="G4"/>
  <c r="F4"/>
  <c r="B508" s="1"/>
  <c r="E4"/>
  <c r="D4"/>
  <c r="B316" s="1"/>
  <c r="C4"/>
  <c r="B4"/>
  <c r="P4" s="1"/>
  <c r="H3"/>
  <c r="G3"/>
  <c r="F3"/>
  <c r="E3"/>
  <c r="B411" s="1"/>
  <c r="D3"/>
  <c r="C3"/>
  <c r="B3"/>
  <c r="H2"/>
  <c r="B698" s="1"/>
  <c r="G2"/>
  <c r="F2"/>
  <c r="B506" s="1"/>
  <c r="E2"/>
  <c r="D2"/>
  <c r="B314" s="1"/>
  <c r="C2"/>
  <c r="B2"/>
  <c r="B793"/>
  <c r="B792"/>
  <c r="B791"/>
  <c r="B790"/>
  <c r="B789"/>
  <c r="B788"/>
  <c r="B787"/>
  <c r="B786"/>
  <c r="B785"/>
  <c r="B783"/>
  <c r="B781"/>
  <c r="B779"/>
  <c r="B777"/>
  <c r="B775"/>
  <c r="B773"/>
  <c r="B771"/>
  <c r="B769"/>
  <c r="B767"/>
  <c r="B765"/>
  <c r="B763"/>
  <c r="B761"/>
  <c r="B759"/>
  <c r="B757"/>
  <c r="B755"/>
  <c r="B753"/>
  <c r="B751"/>
  <c r="B749"/>
  <c r="B747"/>
  <c r="B745"/>
  <c r="B743"/>
  <c r="B741"/>
  <c r="B739"/>
  <c r="B737"/>
  <c r="B735"/>
  <c r="B733"/>
  <c r="B731"/>
  <c r="B729"/>
  <c r="B727"/>
  <c r="B725"/>
  <c r="B723"/>
  <c r="B721"/>
  <c r="B719"/>
  <c r="B717"/>
  <c r="B715"/>
  <c r="B713"/>
  <c r="B711"/>
  <c r="B709"/>
  <c r="B707"/>
  <c r="B705"/>
  <c r="B703"/>
  <c r="B701"/>
  <c r="B699"/>
  <c r="B696"/>
  <c r="B694"/>
  <c r="B692"/>
  <c r="B690"/>
  <c r="B688"/>
  <c r="B686"/>
  <c r="B684"/>
  <c r="B682"/>
  <c r="B680"/>
  <c r="B678"/>
  <c r="B676"/>
  <c r="B674"/>
  <c r="B672"/>
  <c r="B670"/>
  <c r="B668"/>
  <c r="B666"/>
  <c r="B664"/>
  <c r="B662"/>
  <c r="B660"/>
  <c r="B658"/>
  <c r="B656"/>
  <c r="B654"/>
  <c r="B652"/>
  <c r="B650"/>
  <c r="B648"/>
  <c r="B646"/>
  <c r="B644"/>
  <c r="B642"/>
  <c r="B640"/>
  <c r="B638"/>
  <c r="B636"/>
  <c r="B634"/>
  <c r="B632"/>
  <c r="B630"/>
  <c r="B628"/>
  <c r="B626"/>
  <c r="B624"/>
  <c r="B622"/>
  <c r="B620"/>
  <c r="B618"/>
  <c r="B616"/>
  <c r="B614"/>
  <c r="B612"/>
  <c r="B610"/>
  <c r="B608"/>
  <c r="B606"/>
  <c r="B604"/>
  <c r="B602"/>
  <c r="B601"/>
  <c r="B600"/>
  <c r="B599"/>
  <c r="B598"/>
  <c r="B597"/>
  <c r="B596"/>
  <c r="B595"/>
  <c r="B594"/>
  <c r="B593"/>
  <c r="B592"/>
  <c r="B591"/>
  <c r="B590"/>
  <c r="B589"/>
  <c r="B588"/>
  <c r="B587"/>
  <c r="B586"/>
  <c r="B585"/>
  <c r="B583"/>
  <c r="B581"/>
  <c r="B579"/>
  <c r="B577"/>
  <c r="B575"/>
  <c r="B573"/>
  <c r="B571"/>
  <c r="B569"/>
  <c r="B567"/>
  <c r="B565"/>
  <c r="B563"/>
  <c r="B561"/>
  <c r="B559"/>
  <c r="B557"/>
  <c r="B555"/>
  <c r="B553"/>
  <c r="B551"/>
  <c r="B549"/>
  <c r="B547"/>
  <c r="B545"/>
  <c r="B543"/>
  <c r="B541"/>
  <c r="B539"/>
  <c r="B537"/>
  <c r="B535"/>
  <c r="B533"/>
  <c r="B531"/>
  <c r="B529"/>
  <c r="B527"/>
  <c r="B525"/>
  <c r="B523"/>
  <c r="B521"/>
  <c r="B519"/>
  <c r="B517"/>
  <c r="B515"/>
  <c r="B513"/>
  <c r="B509"/>
  <c r="B507"/>
  <c r="B504"/>
  <c r="B502"/>
  <c r="B500"/>
  <c r="B498"/>
  <c r="B496"/>
  <c r="B494"/>
  <c r="B492"/>
  <c r="B490"/>
  <c r="B488"/>
  <c r="B486"/>
  <c r="B484"/>
  <c r="B482"/>
  <c r="B480"/>
  <c r="B478"/>
  <c r="B476"/>
  <c r="B474"/>
  <c r="B472"/>
  <c r="B470"/>
  <c r="B468"/>
  <c r="B466"/>
  <c r="B464"/>
  <c r="B462"/>
  <c r="B460"/>
  <c r="B458"/>
  <c r="B456"/>
  <c r="B454"/>
  <c r="B452"/>
  <c r="B450"/>
  <c r="B448"/>
  <c r="B446"/>
  <c r="B444"/>
  <c r="B442"/>
  <c r="B440"/>
  <c r="B438"/>
  <c r="B436"/>
  <c r="B434"/>
  <c r="B432"/>
  <c r="B430"/>
  <c r="B428"/>
  <c r="B426"/>
  <c r="B424"/>
  <c r="B422"/>
  <c r="B420"/>
  <c r="B418"/>
  <c r="B416"/>
  <c r="B414"/>
  <c r="B412"/>
  <c r="B410"/>
  <c r="B409"/>
  <c r="B408"/>
  <c r="B407"/>
  <c r="B406"/>
  <c r="B405"/>
  <c r="B404"/>
  <c r="B403"/>
  <c r="B402"/>
  <c r="B401"/>
  <c r="B400"/>
  <c r="B399"/>
  <c r="B398"/>
  <c r="B397"/>
  <c r="B396"/>
  <c r="B395"/>
  <c r="B394"/>
  <c r="B393"/>
  <c r="B392"/>
  <c r="B391"/>
  <c r="B390"/>
  <c r="B389"/>
  <c r="B388"/>
  <c r="B387"/>
  <c r="B385"/>
  <c r="B383"/>
  <c r="B381"/>
  <c r="B379"/>
  <c r="B377"/>
  <c r="B375"/>
  <c r="B373"/>
  <c r="B371"/>
  <c r="B369"/>
  <c r="B367"/>
  <c r="B365"/>
  <c r="B363"/>
  <c r="B361"/>
  <c r="B359"/>
  <c r="B357"/>
  <c r="B355"/>
  <c r="B353"/>
  <c r="B351"/>
  <c r="B349"/>
  <c r="B347"/>
  <c r="B345"/>
  <c r="B343"/>
  <c r="B341"/>
  <c r="B339"/>
  <c r="B337"/>
  <c r="B335"/>
  <c r="B333"/>
  <c r="B331"/>
  <c r="B329"/>
  <c r="B327"/>
  <c r="B325"/>
  <c r="B323"/>
  <c r="B321"/>
  <c r="B319"/>
  <c r="B317"/>
  <c r="B315"/>
  <c r="B312"/>
  <c r="B310"/>
  <c r="B308"/>
  <c r="B306"/>
  <c r="B304"/>
  <c r="B302"/>
  <c r="B300"/>
  <c r="B298"/>
  <c r="B296"/>
  <c r="B294"/>
  <c r="B292"/>
  <c r="B290"/>
  <c r="B288"/>
  <c r="B286"/>
  <c r="B284"/>
  <c r="B282"/>
  <c r="B280"/>
  <c r="B278"/>
  <c r="B276"/>
  <c r="B274"/>
  <c r="B272"/>
  <c r="B270"/>
  <c r="B268"/>
  <c r="B266"/>
  <c r="B264"/>
  <c r="B262"/>
  <c r="B260"/>
  <c r="B258"/>
  <c r="B256"/>
  <c r="B254"/>
  <c r="B252"/>
  <c r="B250"/>
  <c r="B248"/>
  <c r="B246"/>
  <c r="B244"/>
  <c r="B242"/>
  <c r="B240"/>
  <c r="B238"/>
  <c r="B236"/>
  <c r="B234"/>
  <c r="B232"/>
  <c r="B230"/>
  <c r="B228"/>
  <c r="B226"/>
  <c r="B224"/>
  <c r="B222"/>
  <c r="B220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5"/>
  <c r="B183"/>
  <c r="B181"/>
  <c r="B179"/>
  <c r="B177"/>
  <c r="B175"/>
  <c r="B173"/>
  <c r="B171"/>
  <c r="B169"/>
  <c r="B167"/>
  <c r="B165"/>
  <c r="B163"/>
  <c r="B161"/>
  <c r="B159"/>
  <c r="B157"/>
  <c r="B155"/>
  <c r="B153"/>
  <c r="B151"/>
  <c r="B149"/>
  <c r="B145"/>
  <c r="B143"/>
  <c r="B141"/>
  <c r="B139"/>
  <c r="B137"/>
  <c r="B135"/>
  <c r="B133"/>
  <c r="B131"/>
  <c r="B129"/>
  <c r="B127"/>
  <c r="B125"/>
  <c r="B123"/>
  <c r="F115"/>
  <c r="Z11" i="10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9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8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7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6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4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Z11" i="5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C115" i="11"/>
  <c r="AB8" i="10"/>
  <c r="J38" i="14"/>
  <c r="AB8" i="9"/>
  <c r="J37" i="14"/>
  <c r="AB8" i="8"/>
  <c r="J36" i="14" s="1"/>
  <c r="AB8" i="7"/>
  <c r="J35" i="14" s="1"/>
  <c r="AB8" i="6"/>
  <c r="J34" i="14" s="1"/>
  <c r="AB8" i="4"/>
  <c r="J33" i="14" s="1"/>
  <c r="AB8" i="5"/>
  <c r="J32" i="14" s="1"/>
  <c r="J33" i="13"/>
  <c r="J32"/>
  <c r="B1" i="11"/>
  <c r="B2" i="4"/>
  <c r="C1" i="11"/>
  <c r="B2" i="6"/>
  <c r="D1" i="11"/>
  <c r="B2" i="7"/>
  <c r="E1" i="11"/>
  <c r="B2" i="8"/>
  <c r="F1" i="11"/>
  <c r="B2" i="9"/>
  <c r="G1" i="11" s="1"/>
  <c r="B2" i="10"/>
  <c r="H1" i="11" s="1"/>
  <c r="O6"/>
  <c r="O10"/>
  <c r="O16"/>
  <c r="O19"/>
  <c r="O25"/>
  <c r="O26"/>
  <c r="O30"/>
  <c r="O37"/>
  <c r="O39"/>
  <c r="O42"/>
  <c r="O49"/>
  <c r="O47"/>
  <c r="P14"/>
  <c r="O51"/>
  <c r="O52"/>
  <c r="S15"/>
  <c r="O57"/>
  <c r="O55"/>
  <c r="N16"/>
  <c r="S16"/>
  <c r="O61"/>
  <c r="O59"/>
  <c r="O65"/>
  <c r="O63"/>
  <c r="U17"/>
  <c r="O66"/>
  <c r="O68"/>
  <c r="O73"/>
  <c r="O70"/>
  <c r="S20"/>
  <c r="O76"/>
  <c r="O74"/>
  <c r="P21"/>
  <c r="O81"/>
  <c r="O79"/>
  <c r="P22"/>
  <c r="O84"/>
  <c r="O83"/>
  <c r="S23"/>
  <c r="O89"/>
  <c r="O86"/>
  <c r="N24"/>
  <c r="S24"/>
  <c r="O92"/>
  <c r="O90"/>
  <c r="O97"/>
  <c r="O95"/>
  <c r="U25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N47"/>
  <c r="N48"/>
  <c r="P48"/>
  <c r="N49"/>
  <c r="N50"/>
  <c r="P50"/>
  <c r="N51"/>
  <c r="N52"/>
  <c r="P52"/>
  <c r="N53"/>
  <c r="N54"/>
  <c r="P54"/>
  <c r="N55"/>
  <c r="N56"/>
  <c r="P56"/>
  <c r="N57"/>
  <c r="N58"/>
  <c r="P58"/>
  <c r="N59"/>
  <c r="N60"/>
  <c r="P60"/>
  <c r="N61"/>
  <c r="N62"/>
  <c r="P62"/>
  <c r="N63"/>
  <c r="N64"/>
  <c r="P64"/>
  <c r="N65"/>
  <c r="N66"/>
  <c r="P66"/>
  <c r="N67"/>
  <c r="N68"/>
  <c r="P68"/>
  <c r="N69"/>
  <c r="N70"/>
  <c r="P70"/>
  <c r="N71"/>
  <c r="N72"/>
  <c r="P72"/>
  <c r="N73"/>
  <c r="N74"/>
  <c r="P74"/>
  <c r="N75"/>
  <c r="N76"/>
  <c r="P76"/>
  <c r="N77"/>
  <c r="N78"/>
  <c r="P78"/>
  <c r="N79"/>
  <c r="N80"/>
  <c r="P80"/>
  <c r="N81"/>
  <c r="N82"/>
  <c r="P82"/>
  <c r="N83"/>
  <c r="N84"/>
  <c r="P84"/>
  <c r="N85"/>
  <c r="N86"/>
  <c r="P86"/>
  <c r="N87"/>
  <c r="N88"/>
  <c r="P88"/>
  <c r="N89"/>
  <c r="N90"/>
  <c r="P90"/>
  <c r="N91"/>
  <c r="N92"/>
  <c r="P92"/>
  <c r="N93"/>
  <c r="N94"/>
  <c r="P94"/>
  <c r="N95"/>
  <c r="N96"/>
  <c r="P96"/>
  <c r="N97"/>
  <c r="C101"/>
  <c r="G101"/>
  <c r="B102"/>
  <c r="D102"/>
  <c r="F102"/>
  <c r="H102"/>
  <c r="H103" s="1"/>
  <c r="B104" a="1"/>
  <c r="B104" s="1"/>
  <c r="D104" a="1"/>
  <c r="D104" s="1"/>
  <c r="F104" a="1"/>
  <c r="F104" s="1"/>
  <c r="H104" a="1"/>
  <c r="H104" s="1"/>
  <c r="D105" a="1"/>
  <c r="D105" s="1"/>
  <c r="E105" a="1"/>
  <c r="E105" s="1"/>
  <c r="F105" a="1"/>
  <c r="F105" s="1"/>
  <c r="G105" a="1"/>
  <c r="G105" s="1"/>
  <c r="H105" a="1"/>
  <c r="H105" s="1"/>
  <c r="C109"/>
  <c r="C110"/>
  <c r="C111" s="1"/>
  <c r="I2" i="13" s="1"/>
  <c r="B3" i="15"/>
  <c r="D3" s="1"/>
  <c r="B3" i="14"/>
  <c r="D3" s="1"/>
  <c r="B3" i="13"/>
  <c r="D3" s="1"/>
  <c r="B3" i="12"/>
  <c r="D3" s="1"/>
  <c r="AB9" i="5"/>
  <c r="M32" i="12" s="1"/>
  <c r="AB10" i="5"/>
  <c r="AB11"/>
  <c r="AB9" i="4"/>
  <c r="M33" i="12" s="1"/>
  <c r="AB10" i="4"/>
  <c r="AB11"/>
  <c r="AB9" i="6"/>
  <c r="M34" i="12" s="1"/>
  <c r="AB10" i="6"/>
  <c r="AB11"/>
  <c r="AB9" i="7"/>
  <c r="M35" i="12" s="1"/>
  <c r="AB10" i="7"/>
  <c r="AB11"/>
  <c r="AB9" i="8"/>
  <c r="M36" i="12" s="1"/>
  <c r="AB10" i="8"/>
  <c r="AB11"/>
  <c r="AB4" i="10"/>
  <c r="AB5"/>
  <c r="AB9"/>
  <c r="AB10"/>
  <c r="AB11"/>
  <c r="AB12" s="1"/>
  <c r="AB4" i="9"/>
  <c r="AB5"/>
  <c r="AB9"/>
  <c r="AB10"/>
  <c r="AB11"/>
  <c r="AB12" s="1"/>
  <c r="AB4" i="8"/>
  <c r="AB5"/>
  <c r="AB4" i="7"/>
  <c r="AB5"/>
  <c r="AB4" i="6"/>
  <c r="AB5"/>
  <c r="AB4" i="4"/>
  <c r="AB5"/>
  <c r="AB4" i="5"/>
  <c r="AB5"/>
  <c r="N8" i="11" l="1"/>
  <c r="P6"/>
  <c r="S4"/>
  <c r="E101"/>
  <c r="P97"/>
  <c r="P95"/>
  <c r="P93"/>
  <c r="P91"/>
  <c r="P89"/>
  <c r="P87"/>
  <c r="P85"/>
  <c r="P83"/>
  <c r="P81"/>
  <c r="P79"/>
  <c r="P77"/>
  <c r="P75"/>
  <c r="P73"/>
  <c r="P71"/>
  <c r="P69"/>
  <c r="P67"/>
  <c r="P65"/>
  <c r="P63"/>
  <c r="P61"/>
  <c r="P59"/>
  <c r="P57"/>
  <c r="P55"/>
  <c r="P53"/>
  <c r="P51"/>
  <c r="P49"/>
  <c r="P47"/>
  <c r="U24"/>
  <c r="N23"/>
  <c r="U21"/>
  <c r="U20"/>
  <c r="S19"/>
  <c r="U16"/>
  <c r="N15"/>
  <c r="P13"/>
  <c r="S12"/>
  <c r="S11"/>
  <c r="U9"/>
  <c r="S2"/>
  <c r="D116"/>
  <c r="E115"/>
  <c r="AB12" i="8"/>
  <c r="P36" i="12" s="1"/>
  <c r="J36"/>
  <c r="AB12" i="7"/>
  <c r="P35" i="12" s="1"/>
  <c r="J35"/>
  <c r="J34"/>
  <c r="AB12" i="6"/>
  <c r="P34" i="12" s="1"/>
  <c r="B110" i="11"/>
  <c r="B109"/>
  <c r="C105" a="1"/>
  <c r="C105" s="1"/>
  <c r="H33" i="14" s="1"/>
  <c r="J33" i="12"/>
  <c r="AB12" i="4"/>
  <c r="P33" i="12" s="1"/>
  <c r="P27" i="11"/>
  <c r="U8"/>
  <c r="J32" i="12"/>
  <c r="D110" i="11"/>
  <c r="C116"/>
  <c r="B116"/>
  <c r="N2"/>
  <c r="P2"/>
  <c r="U2"/>
  <c r="B219"/>
  <c r="P3"/>
  <c r="B603"/>
  <c r="O3"/>
  <c r="B221"/>
  <c r="N5"/>
  <c r="U3"/>
  <c r="N6"/>
  <c r="B223"/>
  <c r="P7"/>
  <c r="B607"/>
  <c r="O7"/>
  <c r="B225"/>
  <c r="N9"/>
  <c r="B609"/>
  <c r="O9"/>
  <c r="B227"/>
  <c r="P11"/>
  <c r="B611"/>
  <c r="O11"/>
  <c r="B229"/>
  <c r="N13"/>
  <c r="B613"/>
  <c r="O13"/>
  <c r="S5"/>
  <c r="N14"/>
  <c r="B231"/>
  <c r="P15"/>
  <c r="B615"/>
  <c r="O15"/>
  <c r="B233"/>
  <c r="N17"/>
  <c r="S6"/>
  <c r="U6"/>
  <c r="N18"/>
  <c r="B235"/>
  <c r="P19"/>
  <c r="B237"/>
  <c r="N21"/>
  <c r="U7"/>
  <c r="N22"/>
  <c r="B239"/>
  <c r="P23"/>
  <c r="B623"/>
  <c r="O23"/>
  <c r="B241"/>
  <c r="N25"/>
  <c r="D115"/>
  <c r="N26"/>
  <c r="B243"/>
  <c r="N27"/>
  <c r="B629"/>
  <c r="O29"/>
  <c r="B631"/>
  <c r="O31"/>
  <c r="B633"/>
  <c r="O33"/>
  <c r="S10"/>
  <c r="U10"/>
  <c r="B643"/>
  <c r="O43"/>
  <c r="B645"/>
  <c r="O45"/>
  <c r="E116"/>
  <c r="S13"/>
  <c r="S14"/>
  <c r="U14"/>
  <c r="B653"/>
  <c r="O53"/>
  <c r="T14" s="1"/>
  <c r="B279"/>
  <c r="S17"/>
  <c r="F116"/>
  <c r="F117" s="1"/>
  <c r="S18"/>
  <c r="U18"/>
  <c r="B667"/>
  <c r="O67"/>
  <c r="B669"/>
  <c r="O69"/>
  <c r="B671"/>
  <c r="O71"/>
  <c r="B675"/>
  <c r="O75"/>
  <c r="B677"/>
  <c r="O77"/>
  <c r="S22"/>
  <c r="U22"/>
  <c r="B685"/>
  <c r="O85"/>
  <c r="T22" s="1"/>
  <c r="B687"/>
  <c r="O87"/>
  <c r="B691"/>
  <c r="O91"/>
  <c r="B693"/>
  <c r="O93"/>
  <c r="T20"/>
  <c r="T19"/>
  <c r="C117"/>
  <c r="E117"/>
  <c r="T13"/>
  <c r="T16"/>
  <c r="T17"/>
  <c r="T21"/>
  <c r="T25"/>
  <c r="B105" a="1"/>
  <c r="B105" s="1"/>
  <c r="H32" i="12" s="1"/>
  <c r="G104" i="11" a="1"/>
  <c r="G104" s="1"/>
  <c r="E104" a="1"/>
  <c r="E104" s="1"/>
  <c r="F35" i="12" s="1"/>
  <c r="C104" i="11" a="1"/>
  <c r="C104" s="1"/>
  <c r="F33" i="12" s="1"/>
  <c r="G102" i="11"/>
  <c r="G103" s="1"/>
  <c r="E102"/>
  <c r="E103" s="1"/>
  <c r="C102"/>
  <c r="C103" s="1"/>
  <c r="H101"/>
  <c r="F101"/>
  <c r="F103" s="1"/>
  <c r="D101"/>
  <c r="D103" s="1"/>
  <c r="B101"/>
  <c r="B103" s="1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P26"/>
  <c r="P25"/>
  <c r="T24"/>
  <c r="T23"/>
  <c r="N20"/>
  <c r="N19"/>
  <c r="P18"/>
  <c r="P17"/>
  <c r="T15"/>
  <c r="U13"/>
  <c r="U12"/>
  <c r="O44"/>
  <c r="T12" s="1"/>
  <c r="N12"/>
  <c r="O41"/>
  <c r="T11" s="1"/>
  <c r="N11"/>
  <c r="O35"/>
  <c r="T10" s="1"/>
  <c r="P10"/>
  <c r="O32"/>
  <c r="P9"/>
  <c r="O27"/>
  <c r="T8" s="1"/>
  <c r="S8"/>
  <c r="O22"/>
  <c r="T7" s="1"/>
  <c r="S7"/>
  <c r="O21"/>
  <c r="T6" s="1"/>
  <c r="U5"/>
  <c r="O17"/>
  <c r="T5" s="1"/>
  <c r="U4"/>
  <c r="O12"/>
  <c r="T4" s="1"/>
  <c r="N4"/>
  <c r="O8"/>
  <c r="T3" s="1"/>
  <c r="N3"/>
  <c r="O5"/>
  <c r="O2"/>
  <c r="B115"/>
  <c r="B122"/>
  <c r="B124"/>
  <c r="B126"/>
  <c r="B128"/>
  <c r="B130"/>
  <c r="B132"/>
  <c r="B134"/>
  <c r="B136"/>
  <c r="B138"/>
  <c r="B140"/>
  <c r="B142"/>
  <c r="B144"/>
  <c r="B146"/>
  <c r="B150"/>
  <c r="B154"/>
  <c r="B158"/>
  <c r="B166"/>
  <c r="B170"/>
  <c r="B174"/>
  <c r="B186"/>
  <c r="B700"/>
  <c r="B710"/>
  <c r="B714"/>
  <c r="B716"/>
  <c r="B720"/>
  <c r="B724"/>
  <c r="B730"/>
  <c r="B732"/>
  <c r="B734"/>
  <c r="B736"/>
  <c r="B742"/>
  <c r="B744"/>
  <c r="B746"/>
  <c r="B750"/>
  <c r="B752"/>
  <c r="B754"/>
  <c r="B756"/>
  <c r="B758"/>
  <c r="B760"/>
  <c r="B768"/>
  <c r="B774"/>
  <c r="B776"/>
  <c r="B778"/>
  <c r="B784"/>
  <c r="D109"/>
  <c r="AB12" i="5"/>
  <c r="P32" i="12" s="1"/>
  <c r="H33" i="13"/>
  <c r="AB7" i="10"/>
  <c r="H38" i="14"/>
  <c r="H36" i="12"/>
  <c r="AB7" i="8"/>
  <c r="H36" i="14"/>
  <c r="H34" i="12"/>
  <c r="AB7" i="6"/>
  <c r="H34" i="14"/>
  <c r="F32" i="13"/>
  <c r="F37" i="14"/>
  <c r="AB6" i="9"/>
  <c r="AB6" i="7"/>
  <c r="H37" i="14"/>
  <c r="AB7" i="9"/>
  <c r="H32" i="13"/>
  <c r="H35" i="14"/>
  <c r="AB7" i="7"/>
  <c r="H35" i="12"/>
  <c r="AB7" i="4"/>
  <c r="F38" i="14"/>
  <c r="AB6" i="10"/>
  <c r="F33" i="13"/>
  <c r="F36" i="14"/>
  <c r="F36" i="12"/>
  <c r="AB6" i="8"/>
  <c r="F34" i="14"/>
  <c r="AB6" i="6"/>
  <c r="F34" i="12"/>
  <c r="F32" i="14"/>
  <c r="F32" i="12"/>
  <c r="AB6" i="5"/>
  <c r="D33" i="13"/>
  <c r="D38" i="14"/>
  <c r="D117" i="11" l="1"/>
  <c r="T2"/>
  <c r="F35" i="14"/>
  <c r="D36" i="12"/>
  <c r="D36" i="14"/>
  <c r="D34"/>
  <c r="D34" i="12"/>
  <c r="B111" i="11"/>
  <c r="I2" i="12" s="1"/>
  <c r="F33" i="14"/>
  <c r="I2" i="15"/>
  <c r="H33" i="12"/>
  <c r="D111" i="11"/>
  <c r="I2" i="21" s="1"/>
  <c r="AB6" i="4"/>
  <c r="B117" i="11"/>
  <c r="D32" i="12"/>
  <c r="D32" i="14"/>
  <c r="AB7" i="5"/>
  <c r="H32" i="14"/>
  <c r="D35"/>
  <c r="D35" i="12"/>
  <c r="T18" i="11"/>
  <c r="T9"/>
  <c r="D33" i="14"/>
  <c r="D33" i="12"/>
  <c r="D37" i="14"/>
  <c r="D32" i="13"/>
  <c r="I2" i="14" l="1"/>
</calcChain>
</file>

<file path=xl/sharedStrings.xml><?xml version="1.0" encoding="utf-8"?>
<sst xmlns="http://schemas.openxmlformats.org/spreadsheetml/2006/main" count="422" uniqueCount="118">
  <si>
    <t>6am</t>
  </si>
  <si>
    <t>7am</t>
  </si>
  <si>
    <t>8am</t>
  </si>
  <si>
    <t>9am</t>
  </si>
  <si>
    <t>10am</t>
  </si>
  <si>
    <t>11am</t>
  </si>
  <si>
    <t>12pm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</si>
  <si>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</si>
  <si>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</si>
  <si>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</si>
  <si>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</si>
  <si>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</si>
  <si>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</si>
  <si>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</si>
  <si>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</si>
  <si>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</si>
  <si>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11pm</t>
  </si>
  <si>
    <t>10pm</t>
  </si>
  <si>
    <t>12am</t>
  </si>
  <si>
    <t>1am</t>
  </si>
  <si>
    <t>2am</t>
  </si>
  <si>
    <t>3am</t>
  </si>
  <si>
    <t>4am</t>
  </si>
  <si>
    <t>5am</t>
  </si>
  <si>
    <t>Bolus</t>
  </si>
  <si>
    <t>Basal</t>
  </si>
  <si>
    <t>Carbs</t>
  </si>
  <si>
    <t>Activity</t>
  </si>
  <si>
    <t>Notes</t>
  </si>
  <si>
    <t>Time</t>
  </si>
  <si>
    <t>Target Range Variables</t>
  </si>
  <si>
    <t>Weekday Average</t>
  </si>
  <si>
    <t>Weekend Average</t>
  </si>
  <si>
    <t>Total Average</t>
  </si>
  <si>
    <t>Morning</t>
  </si>
  <si>
    <t>Afternoon</t>
  </si>
  <si>
    <t>Evening</t>
  </si>
  <si>
    <t xml:space="preserve"> </t>
  </si>
  <si>
    <t>Average</t>
  </si>
  <si>
    <t># of Tests</t>
  </si>
  <si>
    <t>Hour/Min</t>
  </si>
  <si>
    <t>Weekday Average Bloodsugar:</t>
  </si>
  <si>
    <t>-</t>
  </si>
  <si>
    <t>Weekend Average Bloodsugar:</t>
  </si>
  <si>
    <t>Average Bloodsugar All Week:</t>
  </si>
  <si>
    <t>Hourly Average</t>
  </si>
  <si>
    <t>Excel Diabetes Logbook</t>
  </si>
  <si>
    <t>This is how I use the file:</t>
  </si>
  <si>
    <t>boluses, carbs, and any notes I want to about my blood sugar or activities.</t>
  </si>
  <si>
    <t xml:space="preserve">I use a OneTouch meter with their management software and download my readings every morning.  </t>
  </si>
  <si>
    <t xml:space="preserve">I will then go through the downloaded readings from the evening/night/morning and record them in my Excel logbook.  </t>
  </si>
  <si>
    <t>While there are some nice things that the OneTouch management software does, I prefer to make notes</t>
  </si>
  <si>
    <t>and record things a little more free-form and to easily see the graph of my blood sugar readings from day-to-day.</t>
  </si>
  <si>
    <t>I start my day and record my sugars, carbs, and boluses directly into the logbook.</t>
  </si>
  <si>
    <t>If you have any comments, questions, or suggestions for improvements, please don't hesitate to contact me.</t>
  </si>
  <si>
    <t>Weekday Stats</t>
  </si>
  <si>
    <t>Weekend Stats</t>
  </si>
  <si>
    <t>AllWeek Stats</t>
  </si>
  <si>
    <t>Total</t>
  </si>
  <si>
    <t>Count</t>
  </si>
  <si>
    <t>Min</t>
  </si>
  <si>
    <t>Max</t>
  </si>
  <si>
    <t>Sum</t>
  </si>
  <si>
    <t>Monday</t>
  </si>
  <si>
    <t>Tuesday</t>
  </si>
  <si>
    <t>Wednesday</t>
  </si>
  <si>
    <t>Thursday</t>
  </si>
  <si>
    <t>Friday</t>
  </si>
  <si>
    <t>Saturday</t>
  </si>
  <si>
    <t>Sunday</t>
  </si>
  <si>
    <t>Total Carbs</t>
  </si>
  <si>
    <t>Total Bolus</t>
  </si>
  <si>
    <t>Total Basal</t>
  </si>
  <si>
    <t>Total Insulin</t>
  </si>
  <si>
    <t>notice patterns that might require some changes in my treatment plan.</t>
  </si>
  <si>
    <t>- Kevin</t>
  </si>
  <si>
    <t>parenthetic-diabetic.blogspot.com</t>
  </si>
  <si>
    <t>parenthetic.diabetic@gmail.com</t>
  </si>
  <si>
    <t>Note that you don't have to pay any attention to the "Data" worksheet.  This is just where all the values entered into</t>
  </si>
  <si>
    <t>Based on suggestions from folks in the Diabetes OC that I have shared this spreadsheet with, I have created</t>
  </si>
  <si>
    <t>a read-only template that I save each Monday morning with the following naming convention: "logbook_yyyy_mm_dd.xls".</t>
  </si>
  <si>
    <t>All the date changes filter through to the other worksheets.</t>
  </si>
  <si>
    <t>the logbook worksheets get formatted for the graphing.  Also, there is a section on the data worksheet where you can</t>
  </si>
  <si>
    <t>Std. Dev.</t>
  </si>
  <si>
    <t>For feedback that has helped me improve this, I'd like to thank:</t>
  </si>
  <si>
    <t>Chrissie in Belgium</t>
  </si>
  <si>
    <t>© 2006, 2007 parenthetic (diabetic)</t>
  </si>
  <si>
    <t>You are free to use this logbook for yourself, but you may not copy, distribute, or sell it.</t>
  </si>
  <si>
    <t>High</t>
  </si>
  <si>
    <t>Low</t>
  </si>
  <si>
    <t>In Range</t>
  </si>
  <si>
    <t>All</t>
  </si>
  <si>
    <t>Monday = Black</t>
  </si>
  <si>
    <t xml:space="preserve">   Tuesday = Green</t>
  </si>
  <si>
    <t>Friday = Blue</t>
  </si>
  <si>
    <t>Thursday = Brown</t>
  </si>
  <si>
    <t>Wednesday = Red</t>
  </si>
  <si>
    <t>Average Hourly Readings for Graphs</t>
  </si>
  <si>
    <t>Basal Rates</t>
  </si>
  <si>
    <t>Daily Stats</t>
  </si>
  <si>
    <t>Weekly Stats</t>
  </si>
  <si>
    <t>Pie Chart Data</t>
  </si>
  <si>
    <t>enter your own data if you want to graph out your basal rates.  I've also set it up so that the basal rates on each day</t>
  </si>
  <si>
    <t>are read from one place (column X) on the data worksheet so you can make basal rate changes in one place.</t>
  </si>
  <si>
    <t>Night</t>
  </si>
  <si>
    <t xml:space="preserve">This is a little Excel file that I've put together to help me keep track of my blood sugar readings to help me </t>
  </si>
  <si>
    <t>Feel free to use this file as you see fit. I hope you find it useful.</t>
  </si>
  <si>
    <t xml:space="preserve">I have a desk job. </t>
  </si>
  <si>
    <t xml:space="preserve">I leave this file open on my computer throughout the day and I can easily enter my readings, my </t>
  </si>
  <si>
    <t xml:space="preserve">I can usually recall what I ate for dinner the previous night and anything strange that I'd like to make note of before </t>
  </si>
  <si>
    <t>After the template has been saved to a new file, you only need to change the date in cell B2 on the "Monday" worksheet.</t>
  </si>
  <si>
    <t xml:space="preserve">Scott Johnson </t>
  </si>
  <si>
    <t>http://scotts-dblife.blogspot.com</t>
  </si>
  <si>
    <t xml:space="preserve">Mel </t>
  </si>
  <si>
    <t>http://orsaaetas.blogspot.com</t>
  </si>
  <si>
    <t xml:space="preserve">Johnboy </t>
  </si>
  <si>
    <t>http://infusionofthought.blogspot.com</t>
  </si>
  <si>
    <t>http://chrissieinbelgium.blogspot.com</t>
  </si>
</sst>
</file>

<file path=xl/styles.xml><?xml version="1.0" encoding="utf-8"?>
<styleSheet xmlns="http://schemas.openxmlformats.org/spreadsheetml/2006/main">
  <numFmts count="5">
    <numFmt numFmtId="164" formatCode="[$-F400]h:mm:ss\ AM/PM"/>
    <numFmt numFmtId="165" formatCode="[$-F800]dddd\,\ mmmm\ dd\,\ yyyy"/>
    <numFmt numFmtId="166" formatCode="0.0"/>
    <numFmt numFmtId="167" formatCode="mm/dd/yy;@"/>
    <numFmt numFmtId="168" formatCode="mm/dd/yy"/>
  </numFmts>
  <fonts count="2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b/>
      <sz val="16"/>
      <color indexed="59"/>
      <name val="Arial"/>
      <family val="2"/>
    </font>
    <font>
      <sz val="10"/>
      <name val="Arial"/>
      <family val="2"/>
    </font>
    <font>
      <b/>
      <sz val="14"/>
      <color indexed="59"/>
      <name val="Arial"/>
      <family val="2"/>
    </font>
    <font>
      <b/>
      <sz val="8"/>
      <name val="Arial"/>
      <family val="2"/>
    </font>
    <font>
      <sz val="10"/>
      <color indexed="23"/>
      <name val="Arial"/>
    </font>
    <font>
      <sz val="10"/>
      <name val="Courier"/>
      <family val="3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</font>
    <font>
      <sz val="10"/>
      <name val="Arial"/>
    </font>
    <font>
      <u/>
      <sz val="10"/>
      <color indexed="12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0"/>
      <color indexed="60"/>
      <name val="Arial"/>
      <family val="2"/>
    </font>
    <font>
      <b/>
      <sz val="10"/>
      <color indexed="1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/>
    <xf numFmtId="20" fontId="2" fillId="0" borderId="1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20" fontId="2" fillId="3" borderId="1" xfId="0" applyNumberFormat="1" applyFont="1" applyFill="1" applyBorder="1" applyAlignment="1">
      <alignment horizontal="left"/>
    </xf>
    <xf numFmtId="0" fontId="0" fillId="4" borderId="0" xfId="0" applyFill="1"/>
    <xf numFmtId="166" fontId="0" fillId="0" borderId="1" xfId="0" applyNumberFormat="1" applyBorder="1"/>
    <xf numFmtId="165" fontId="6" fillId="4" borderId="0" xfId="0" applyNumberFormat="1" applyFont="1" applyFill="1" applyAlignment="1">
      <alignment horizontal="left"/>
    </xf>
    <xf numFmtId="0" fontId="0" fillId="0" borderId="0" xfId="0" applyFill="1"/>
    <xf numFmtId="164" fontId="0" fillId="0" borderId="0" xfId="0" applyNumberFormat="1" applyFill="1"/>
    <xf numFmtId="14" fontId="0" fillId="0" borderId="0" xfId="0" applyNumberFormat="1" applyFill="1"/>
    <xf numFmtId="0" fontId="2" fillId="0" borderId="0" xfId="0" applyFont="1" applyFill="1"/>
    <xf numFmtId="14" fontId="2" fillId="0" borderId="0" xfId="0" applyNumberFormat="1" applyFont="1" applyFill="1"/>
    <xf numFmtId="0" fontId="2" fillId="0" borderId="0" xfId="0" applyFont="1" applyFill="1" applyAlignment="1">
      <alignment horizontal="right"/>
    </xf>
    <xf numFmtId="0" fontId="0" fillId="0" borderId="2" xfId="0" applyFill="1" applyBorder="1"/>
    <xf numFmtId="0" fontId="2" fillId="0" borderId="0" xfId="0" applyNumberFormat="1" applyFont="1" applyFill="1"/>
    <xf numFmtId="0" fontId="0" fillId="4" borderId="0" xfId="0" applyNumberFormat="1" applyFill="1"/>
    <xf numFmtId="0" fontId="2" fillId="2" borderId="3" xfId="0" applyFont="1" applyFill="1" applyBorder="1" applyAlignment="1">
      <alignment horizontal="left"/>
    </xf>
    <xf numFmtId="0" fontId="0" fillId="2" borderId="3" xfId="0" applyFill="1" applyBorder="1"/>
    <xf numFmtId="20" fontId="2" fillId="0" borderId="4" xfId="0" applyNumberFormat="1" applyFont="1" applyBorder="1" applyAlignment="1">
      <alignment horizontal="left"/>
    </xf>
    <xf numFmtId="0" fontId="3" fillId="0" borderId="0" xfId="0" applyFont="1" applyFill="1" applyBorder="1" applyAlignment="1">
      <alignment horizontal="left" vertical="top"/>
    </xf>
    <xf numFmtId="0" fontId="2" fillId="0" borderId="4" xfId="0" applyFont="1" applyBorder="1" applyAlignment="1">
      <alignment horizontal="left"/>
    </xf>
    <xf numFmtId="0" fontId="2" fillId="4" borderId="0" xfId="0" applyFont="1" applyFill="1"/>
    <xf numFmtId="0" fontId="2" fillId="0" borderId="1" xfId="0" applyFont="1" applyBorder="1"/>
    <xf numFmtId="0" fontId="7" fillId="0" borderId="5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0" fillId="0" borderId="4" xfId="0" applyBorder="1" applyAlignment="1">
      <alignment horizontal="right"/>
    </xf>
    <xf numFmtId="0" fontId="8" fillId="4" borderId="0" xfId="0" applyFont="1" applyFill="1"/>
    <xf numFmtId="0" fontId="0" fillId="2" borderId="3" xfId="0" applyFill="1" applyBorder="1" applyAlignment="1">
      <alignment horizontal="right"/>
    </xf>
    <xf numFmtId="0" fontId="0" fillId="2" borderId="3" xfId="0" applyFill="1" applyBorder="1" applyAlignment="1"/>
    <xf numFmtId="2" fontId="0" fillId="0" borderId="0" xfId="0" applyNumberFormat="1"/>
    <xf numFmtId="165" fontId="4" fillId="4" borderId="0" xfId="0" applyNumberFormat="1" applyFont="1" applyFill="1" applyAlignment="1"/>
    <xf numFmtId="0" fontId="9" fillId="4" borderId="0" xfId="0" applyFont="1" applyFill="1"/>
    <xf numFmtId="165" fontId="9" fillId="4" borderId="0" xfId="0" applyNumberFormat="1" applyFont="1" applyFill="1"/>
    <xf numFmtId="165" fontId="0" fillId="4" borderId="0" xfId="0" applyNumberFormat="1" applyFill="1"/>
    <xf numFmtId="0" fontId="0" fillId="4" borderId="0" xfId="0" applyFill="1" applyAlignment="1"/>
    <xf numFmtId="167" fontId="11" fillId="4" borderId="0" xfId="0" applyNumberFormat="1" applyFont="1" applyFill="1" applyAlignment="1">
      <alignment horizontal="left"/>
    </xf>
    <xf numFmtId="0" fontId="11" fillId="4" borderId="0" xfId="0" quotePrefix="1" applyFont="1" applyFill="1" applyAlignment="1"/>
    <xf numFmtId="168" fontId="11" fillId="4" borderId="0" xfId="0" applyNumberFormat="1" applyFont="1" applyFill="1" applyAlignment="1">
      <alignment horizontal="right"/>
    </xf>
    <xf numFmtId="1" fontId="10" fillId="4" borderId="6" xfId="0" applyNumberFormat="1" applyFont="1" applyFill="1" applyBorder="1" applyAlignment="1">
      <alignment horizontal="center"/>
    </xf>
    <xf numFmtId="1" fontId="0" fillId="0" borderId="0" xfId="0" applyNumberFormat="1" applyFill="1"/>
    <xf numFmtId="166" fontId="0" fillId="0" borderId="1" xfId="0" applyNumberFormat="1" applyBorder="1" applyAlignment="1">
      <alignment horizontal="right"/>
    </xf>
    <xf numFmtId="0" fontId="1" fillId="4" borderId="0" xfId="0" applyFont="1" applyFill="1"/>
    <xf numFmtId="0" fontId="1" fillId="4" borderId="0" xfId="0" applyNumberFormat="1" applyFont="1" applyFill="1"/>
    <xf numFmtId="0" fontId="12" fillId="4" borderId="0" xfId="0" applyFont="1" applyFill="1"/>
    <xf numFmtId="0" fontId="13" fillId="4" borderId="0" xfId="0" applyFont="1" applyFill="1"/>
    <xf numFmtId="0" fontId="10" fillId="4" borderId="0" xfId="0" applyFont="1" applyFill="1"/>
    <xf numFmtId="0" fontId="0" fillId="0" borderId="7" xfId="0" applyBorder="1" applyAlignment="1"/>
    <xf numFmtId="0" fontId="0" fillId="0" borderId="4" xfId="0" applyBorder="1" applyAlignment="1"/>
    <xf numFmtId="0" fontId="0" fillId="0" borderId="8" xfId="0" applyBorder="1"/>
    <xf numFmtId="0" fontId="2" fillId="0" borderId="8" xfId="0" applyFont="1" applyBorder="1"/>
    <xf numFmtId="0" fontId="14" fillId="0" borderId="0" xfId="1" applyAlignment="1" applyProtection="1"/>
    <xf numFmtId="0" fontId="0" fillId="4" borderId="0" xfId="0" applyFill="1" applyAlignment="1">
      <alignment horizontal="right"/>
    </xf>
    <xf numFmtId="1" fontId="0" fillId="4" borderId="0" xfId="0" applyNumberFormat="1" applyFill="1"/>
    <xf numFmtId="0" fontId="2" fillId="4" borderId="8" xfId="0" applyFont="1" applyFill="1" applyBorder="1" applyAlignment="1">
      <alignment horizontal="right"/>
    </xf>
    <xf numFmtId="0" fontId="0" fillId="4" borderId="8" xfId="0" applyFill="1" applyBorder="1"/>
    <xf numFmtId="0" fontId="0" fillId="4" borderId="8" xfId="0" applyFill="1" applyBorder="1" applyAlignment="1">
      <alignment horizontal="right"/>
    </xf>
    <xf numFmtId="0" fontId="0" fillId="4" borderId="9" xfId="0" applyFill="1" applyBorder="1"/>
    <xf numFmtId="0" fontId="0" fillId="4" borderId="2" xfId="0" applyFill="1" applyBorder="1"/>
    <xf numFmtId="0" fontId="0" fillId="4" borderId="0" xfId="0" applyFill="1" applyBorder="1"/>
    <xf numFmtId="0" fontId="7" fillId="0" borderId="0" xfId="0" applyFont="1" applyAlignment="1">
      <alignment horizontal="left"/>
    </xf>
    <xf numFmtId="0" fontId="0" fillId="0" borderId="10" xfId="0" applyBorder="1" applyAlignment="1"/>
    <xf numFmtId="166" fontId="2" fillId="4" borderId="0" xfId="0" applyNumberFormat="1" applyFont="1" applyFill="1"/>
    <xf numFmtId="0" fontId="2" fillId="4" borderId="11" xfId="0" applyFont="1" applyFill="1" applyBorder="1"/>
    <xf numFmtId="1" fontId="2" fillId="4" borderId="0" xfId="0" applyNumberFormat="1" applyFont="1" applyFill="1" applyAlignment="1">
      <alignment horizontal="right"/>
    </xf>
    <xf numFmtId="0" fontId="0" fillId="4" borderId="12" xfId="0" applyFill="1" applyBorder="1"/>
    <xf numFmtId="166" fontId="0" fillId="4" borderId="0" xfId="0" applyNumberFormat="1" applyFill="1"/>
    <xf numFmtId="0" fontId="0" fillId="4" borderId="0" xfId="0" applyFill="1" applyAlignment="1">
      <alignment horizontal="center"/>
    </xf>
    <xf numFmtId="0" fontId="0" fillId="0" borderId="0" xfId="0" quotePrefix="1"/>
    <xf numFmtId="0" fontId="14" fillId="0" borderId="0" xfId="1" applyFont="1" applyAlignment="1" applyProtection="1"/>
    <xf numFmtId="0" fontId="5" fillId="3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right"/>
    </xf>
    <xf numFmtId="166" fontId="0" fillId="4" borderId="6" xfId="0" applyNumberFormat="1" applyFill="1" applyBorder="1"/>
    <xf numFmtId="166" fontId="0" fillId="4" borderId="0" xfId="0" applyNumberFormat="1" applyFill="1" applyBorder="1"/>
    <xf numFmtId="0" fontId="5" fillId="0" borderId="4" xfId="0" applyFont="1" applyBorder="1" applyAlignment="1">
      <alignment horizontal="right"/>
    </xf>
    <xf numFmtId="0" fontId="0" fillId="0" borderId="0" xfId="0" quotePrefix="1" applyFill="1"/>
    <xf numFmtId="0" fontId="17" fillId="4" borderId="0" xfId="0" applyFont="1" applyFill="1"/>
    <xf numFmtId="0" fontId="16" fillId="4" borderId="0" xfId="0" applyFont="1" applyFill="1"/>
    <xf numFmtId="0" fontId="18" fillId="4" borderId="0" xfId="0" applyFont="1" applyFill="1"/>
    <xf numFmtId="0" fontId="19" fillId="4" borderId="0" xfId="0" applyFont="1" applyFill="1"/>
    <xf numFmtId="0" fontId="20" fillId="4" borderId="0" xfId="0" applyFont="1" applyFill="1"/>
    <xf numFmtId="0" fontId="0" fillId="0" borderId="8" xfId="0" applyFill="1" applyBorder="1"/>
    <xf numFmtId="164" fontId="2" fillId="0" borderId="8" xfId="0" applyNumberFormat="1" applyFont="1" applyFill="1" applyBorder="1"/>
    <xf numFmtId="0" fontId="2" fillId="0" borderId="8" xfId="0" applyFont="1" applyFill="1" applyBorder="1"/>
    <xf numFmtId="0" fontId="2" fillId="0" borderId="0" xfId="0" applyFont="1"/>
    <xf numFmtId="2" fontId="0" fillId="0" borderId="0" xfId="0" applyNumberFormat="1" applyFill="1" applyBorder="1"/>
    <xf numFmtId="2" fontId="0" fillId="2" borderId="1" xfId="0" applyNumberFormat="1" applyFill="1" applyBorder="1"/>
    <xf numFmtId="0" fontId="3" fillId="0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165" fontId="4" fillId="4" borderId="0" xfId="0" applyNumberFormat="1" applyFont="1" applyFill="1" applyAlignment="1">
      <alignment horizontal="left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15" fillId="0" borderId="5" xfId="0" applyFont="1" applyFill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7" fillId="0" borderId="5" xfId="0" applyFont="1" applyFill="1" applyBorder="1" applyAlignment="1">
      <alignment horizontal="left" vertical="top" wrapText="1"/>
    </xf>
    <xf numFmtId="0" fontId="7" fillId="0" borderId="0" xfId="0" applyFont="1" applyBorder="1" applyAlignment="1">
      <alignment horizontal="left" wrapText="1"/>
    </xf>
    <xf numFmtId="0" fontId="7" fillId="0" borderId="5" xfId="0" applyFont="1" applyBorder="1" applyAlignment="1">
      <alignment horizontal="left" wrapText="1"/>
    </xf>
    <xf numFmtId="0" fontId="2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100002490235591E-2"/>
          <c:y val="6.6339066339066333E-2"/>
          <c:w val="0.8990004389650581"/>
          <c:h val="0.6584766584766587"/>
        </c:manualLayout>
      </c:layout>
      <c:areaChart>
        <c:grouping val="standard"/>
        <c:ser>
          <c:idx val="3"/>
          <c:order val="1"/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85734528"/>
        <c:axId val="85736064"/>
      </c:areaChart>
      <c:lineChart>
        <c:grouping val="standard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Data!$B$2:$B$97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63169280"/>
        <c:axId val="63171968"/>
      </c:lineChart>
      <c:catAx>
        <c:axId val="63169280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71968"/>
        <c:crosses val="autoZero"/>
        <c:auto val="1"/>
        <c:lblAlgn val="ctr"/>
        <c:lblOffset val="100"/>
        <c:tickLblSkip val="4"/>
        <c:tickMarkSkip val="4"/>
      </c:catAx>
      <c:valAx>
        <c:axId val="63171968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69280"/>
        <c:crosses val="autoZero"/>
        <c:crossBetween val="midCat"/>
      </c:valAx>
      <c:catAx>
        <c:axId val="85734528"/>
        <c:scaling>
          <c:orientation val="minMax"/>
        </c:scaling>
        <c:delete val="1"/>
        <c:axPos val="b"/>
        <c:tickLblPos val="none"/>
        <c:crossAx val="85736064"/>
        <c:crosses val="autoZero"/>
        <c:auto val="1"/>
        <c:lblAlgn val="ctr"/>
        <c:lblOffset val="100"/>
      </c:catAx>
      <c:valAx>
        <c:axId val="85736064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734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85875328"/>
        <c:axId val="85881216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Data!$C$2:$C$97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85858560"/>
        <c:axId val="85873792"/>
      </c:lineChart>
      <c:catAx>
        <c:axId val="85858560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873792"/>
        <c:crosses val="autoZero"/>
        <c:auto val="1"/>
        <c:lblAlgn val="ctr"/>
        <c:lblOffset val="100"/>
        <c:tickLblSkip val="4"/>
        <c:tickMarkSkip val="4"/>
      </c:catAx>
      <c:valAx>
        <c:axId val="85873792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858560"/>
        <c:crosses val="autoZero"/>
        <c:crossBetween val="midCat"/>
      </c:valAx>
      <c:catAx>
        <c:axId val="85875328"/>
        <c:scaling>
          <c:orientation val="minMax"/>
        </c:scaling>
        <c:delete val="1"/>
        <c:axPos val="b"/>
        <c:tickLblPos val="none"/>
        <c:crossAx val="85881216"/>
        <c:crosses val="autoZero"/>
        <c:auto val="1"/>
        <c:lblAlgn val="ctr"/>
        <c:lblOffset val="100"/>
      </c:catAx>
      <c:valAx>
        <c:axId val="85881216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8753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85987712"/>
        <c:axId val="85989248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Data!$D$2:$D$97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85983232"/>
        <c:axId val="85985920"/>
      </c:lineChart>
      <c:catAx>
        <c:axId val="85983232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85920"/>
        <c:crosses val="autoZero"/>
        <c:auto val="1"/>
        <c:lblAlgn val="ctr"/>
        <c:lblOffset val="100"/>
        <c:tickLblSkip val="4"/>
        <c:tickMarkSkip val="4"/>
      </c:catAx>
      <c:valAx>
        <c:axId val="85985920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83232"/>
        <c:crosses val="autoZero"/>
        <c:crossBetween val="midCat"/>
      </c:valAx>
      <c:catAx>
        <c:axId val="85987712"/>
        <c:scaling>
          <c:orientation val="minMax"/>
        </c:scaling>
        <c:delete val="1"/>
        <c:axPos val="b"/>
        <c:tickLblPos val="none"/>
        <c:crossAx val="85989248"/>
        <c:crosses val="autoZero"/>
        <c:auto val="1"/>
        <c:lblAlgn val="ctr"/>
        <c:lblOffset val="100"/>
      </c:catAx>
      <c:valAx>
        <c:axId val="85989248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877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92940160"/>
        <c:axId val="92941696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Data!$E$2:$E$97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2931584"/>
        <c:axId val="92938624"/>
      </c:lineChart>
      <c:catAx>
        <c:axId val="92931584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938624"/>
        <c:crosses val="autoZero"/>
        <c:auto val="1"/>
        <c:lblAlgn val="ctr"/>
        <c:lblOffset val="100"/>
        <c:tickLblSkip val="4"/>
        <c:tickMarkSkip val="4"/>
      </c:catAx>
      <c:valAx>
        <c:axId val="92938624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931584"/>
        <c:crosses val="autoZero"/>
        <c:crossBetween val="midCat"/>
      </c:valAx>
      <c:catAx>
        <c:axId val="92940160"/>
        <c:scaling>
          <c:orientation val="minMax"/>
        </c:scaling>
        <c:delete val="1"/>
        <c:axPos val="b"/>
        <c:tickLblPos val="none"/>
        <c:crossAx val="92941696"/>
        <c:crosses val="autoZero"/>
        <c:auto val="1"/>
        <c:lblAlgn val="ctr"/>
        <c:lblOffset val="100"/>
      </c:catAx>
      <c:valAx>
        <c:axId val="92941696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9401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93056384"/>
        <c:axId val="93058176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Data!$F$2:$F$97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3039616"/>
        <c:axId val="93054848"/>
      </c:lineChart>
      <c:catAx>
        <c:axId val="93039616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54848"/>
        <c:crosses val="autoZero"/>
        <c:auto val="1"/>
        <c:lblAlgn val="ctr"/>
        <c:lblOffset val="100"/>
        <c:tickLblSkip val="4"/>
        <c:tickMarkSkip val="4"/>
      </c:catAx>
      <c:valAx>
        <c:axId val="93054848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39616"/>
        <c:crosses val="autoZero"/>
        <c:crossBetween val="midCat"/>
      </c:valAx>
      <c:catAx>
        <c:axId val="93056384"/>
        <c:scaling>
          <c:orientation val="minMax"/>
        </c:scaling>
        <c:delete val="1"/>
        <c:axPos val="b"/>
        <c:tickLblPos val="none"/>
        <c:crossAx val="93058176"/>
        <c:crosses val="autoZero"/>
        <c:auto val="1"/>
        <c:lblAlgn val="ctr"/>
        <c:lblOffset val="100"/>
      </c:catAx>
      <c:valAx>
        <c:axId val="93058176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563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94250112"/>
        <c:axId val="94251648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Data!$G$2:$G$97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3184768"/>
        <c:axId val="93187456"/>
      </c:lineChart>
      <c:catAx>
        <c:axId val="93184768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87456"/>
        <c:crosses val="autoZero"/>
        <c:auto val="1"/>
        <c:lblAlgn val="ctr"/>
        <c:lblOffset val="100"/>
        <c:tickLblSkip val="4"/>
        <c:tickMarkSkip val="4"/>
      </c:catAx>
      <c:valAx>
        <c:axId val="93187456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84768"/>
        <c:crosses val="autoZero"/>
        <c:crossBetween val="midCat"/>
      </c:valAx>
      <c:catAx>
        <c:axId val="94250112"/>
        <c:scaling>
          <c:orientation val="minMax"/>
        </c:scaling>
        <c:delete val="1"/>
        <c:axPos val="b"/>
        <c:tickLblPos val="none"/>
        <c:crossAx val="94251648"/>
        <c:crosses val="autoZero"/>
        <c:auto val="1"/>
        <c:lblAlgn val="ctr"/>
        <c:lblOffset val="100"/>
      </c:catAx>
      <c:valAx>
        <c:axId val="94251648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2501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0949050949050945E-2"/>
          <c:y val="6.6339066339066333E-2"/>
          <c:w val="0.89910089910089963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94358144"/>
        <c:axId val="94364032"/>
      </c:areaChart>
      <c:lineChart>
        <c:grouping val="standard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Data!$H$2:$H$97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4341376"/>
        <c:axId val="94356608"/>
      </c:lineChart>
      <c:catAx>
        <c:axId val="94341376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356608"/>
        <c:crosses val="autoZero"/>
        <c:auto val="1"/>
        <c:lblAlgn val="ctr"/>
        <c:lblOffset val="100"/>
        <c:tickLblSkip val="4"/>
        <c:tickMarkSkip val="4"/>
      </c:catAx>
      <c:valAx>
        <c:axId val="94356608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341376"/>
        <c:crosses val="autoZero"/>
        <c:crossBetween val="midCat"/>
      </c:valAx>
      <c:catAx>
        <c:axId val="94358144"/>
        <c:scaling>
          <c:orientation val="minMax"/>
        </c:scaling>
        <c:delete val="1"/>
        <c:axPos val="b"/>
        <c:tickLblPos val="none"/>
        <c:crossAx val="94364032"/>
        <c:crosses val="autoZero"/>
        <c:auto val="1"/>
        <c:lblAlgn val="ctr"/>
        <c:lblOffset val="100"/>
      </c:catAx>
      <c:valAx>
        <c:axId val="94364032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3581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3235935275687873E-2"/>
          <c:y val="6.6339066339066333E-2"/>
          <c:w val="0.89457248100518649"/>
          <c:h val="0.6584766584766587"/>
        </c:manualLayout>
      </c:layout>
      <c:areaChart>
        <c:grouping val="standard"/>
        <c:ser>
          <c:idx val="3"/>
          <c:order val="0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Data!$J$2:$J$25</c:f>
              <c:numCache>
                <c:formatCode>General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Data!$K$2:$K$25</c:f>
              <c:numCache>
                <c:formatCode>General</c:formatCode>
                <c:ptCount val="24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</c:numCache>
            </c:numRef>
          </c:val>
        </c:ser>
        <c:ser>
          <c:idx val="2"/>
          <c:order val="2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Data!$L$2:$L$25</c:f>
              <c:numCache>
                <c:formatCode>General</c:formatCode>
                <c:ptCount val="2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</c:numCache>
            </c:numRef>
          </c:val>
        </c:ser>
        <c:axId val="94488064"/>
        <c:axId val="94489984"/>
      </c:areaChart>
      <c:lineChart>
        <c:grouping val="standard"/>
        <c:ser>
          <c:idx val="4"/>
          <c:order val="3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Data!$S$2:$S$25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marker val="1"/>
        <c:axId val="94495872"/>
        <c:axId val="94497408"/>
      </c:lineChart>
      <c:catAx>
        <c:axId val="94488064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489984"/>
        <c:crosses val="autoZero"/>
        <c:auto val="1"/>
        <c:lblAlgn val="ctr"/>
        <c:lblOffset val="100"/>
        <c:tickLblSkip val="1"/>
        <c:tickMarkSkip val="1"/>
      </c:catAx>
      <c:valAx>
        <c:axId val="94489984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488064"/>
        <c:crosses val="autoZero"/>
        <c:crossBetween val="midCat"/>
      </c:valAx>
      <c:catAx>
        <c:axId val="94495872"/>
        <c:scaling>
          <c:orientation val="minMax"/>
        </c:scaling>
        <c:delete val="1"/>
        <c:axPos val="b"/>
        <c:tickLblPos val="none"/>
        <c:crossAx val="94497408"/>
        <c:crosses val="autoZero"/>
        <c:auto val="1"/>
        <c:lblAlgn val="ctr"/>
        <c:lblOffset val="100"/>
      </c:catAx>
      <c:valAx>
        <c:axId val="94497408"/>
        <c:scaling>
          <c:orientation val="minMax"/>
          <c:max val="300"/>
        </c:scaling>
        <c:axPos val="r"/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49587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3235935275687873E-2"/>
          <c:y val="6.6339066339066333E-2"/>
          <c:w val="0.89457248100518649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</c:numCache>
            </c:numRef>
          </c:val>
        </c:ser>
        <c:axId val="94610560"/>
        <c:axId val="94612096"/>
      </c:areaChart>
      <c:lineChart>
        <c:grouping val="standard"/>
        <c:ser>
          <c:idx val="0"/>
          <c:order val="0"/>
          <c:tx>
            <c:v>Monday</c:v>
          </c:tx>
          <c:spPr>
            <a:ln w="12700">
              <a:solidFill>
                <a:srgbClr val="3333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Data!$B$2:$B$97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4594176"/>
        <c:axId val="94596480"/>
      </c:lineChart>
      <c:lineChart>
        <c:grouping val="standard"/>
        <c:ser>
          <c:idx val="4"/>
          <c:order val="4"/>
          <c:tx>
            <c:v>Tuesday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val>
            <c:numRef>
              <c:f>Data!$C$2:$C$97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ser>
          <c:idx val="5"/>
          <c:order val="5"/>
          <c:tx>
            <c:v>Wednesday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Data!$D$2:$D$97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ser>
          <c:idx val="6"/>
          <c:order val="6"/>
          <c:tx>
            <c:v>Thursday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val>
            <c:numRef>
              <c:f>Data!$E$2:$E$97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ser>
          <c:idx val="7"/>
          <c:order val="7"/>
          <c:tx>
            <c:v>Friday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Data!$F$2:$F$97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</c:ser>
        <c:marker val="1"/>
        <c:axId val="94610560"/>
        <c:axId val="94612096"/>
      </c:lineChart>
      <c:catAx>
        <c:axId val="94594176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596480"/>
        <c:crosses val="autoZero"/>
        <c:auto val="1"/>
        <c:lblAlgn val="ctr"/>
        <c:lblOffset val="100"/>
        <c:tickLblSkip val="4"/>
        <c:tickMarkSkip val="1"/>
      </c:catAx>
      <c:valAx>
        <c:axId val="94596480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594176"/>
        <c:crosses val="autoZero"/>
        <c:crossBetween val="midCat"/>
      </c:valAx>
      <c:catAx>
        <c:axId val="94610560"/>
        <c:scaling>
          <c:orientation val="minMax"/>
        </c:scaling>
        <c:delete val="1"/>
        <c:axPos val="b"/>
        <c:tickLblPos val="none"/>
        <c:crossAx val="94612096"/>
        <c:crosses val="autoZero"/>
        <c:auto val="1"/>
        <c:lblAlgn val="ctr"/>
        <c:lblOffset val="100"/>
      </c:catAx>
      <c:valAx>
        <c:axId val="94612096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6105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3235935275687873E-2"/>
          <c:y val="6.6339066339066333E-2"/>
          <c:w val="0.89457248100518649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Data!$J$2:$J$25</c:f>
              <c:numCache>
                <c:formatCode>General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Data!$K$2:$K$25</c:f>
              <c:numCache>
                <c:formatCode>General</c:formatCode>
                <c:ptCount val="24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Data!$L$2:$L$25</c:f>
              <c:numCache>
                <c:formatCode>General</c:formatCode>
                <c:ptCount val="2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</c:numCache>
            </c:numRef>
          </c:val>
        </c:ser>
        <c:axId val="93112960"/>
        <c:axId val="93118848"/>
      </c:areaChart>
      <c:lineChart>
        <c:grouping val="standard"/>
        <c:ser>
          <c:idx val="0"/>
          <c:order val="0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Data!$T$2:$T$25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marker val="1"/>
        <c:axId val="93084672"/>
        <c:axId val="93111424"/>
      </c:lineChart>
      <c:catAx>
        <c:axId val="93084672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11424"/>
        <c:crosses val="autoZero"/>
        <c:auto val="1"/>
        <c:lblAlgn val="ctr"/>
        <c:lblOffset val="100"/>
        <c:tickLblSkip val="1"/>
        <c:tickMarkSkip val="1"/>
      </c:catAx>
      <c:valAx>
        <c:axId val="93111424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084672"/>
        <c:crosses val="autoZero"/>
        <c:crossBetween val="midCat"/>
      </c:valAx>
      <c:catAx>
        <c:axId val="93112960"/>
        <c:scaling>
          <c:orientation val="minMax"/>
        </c:scaling>
        <c:delete val="1"/>
        <c:axPos val="b"/>
        <c:tickLblPos val="none"/>
        <c:crossAx val="93118848"/>
        <c:crosses val="autoZero"/>
        <c:auto val="1"/>
        <c:lblAlgn val="ctr"/>
        <c:lblOffset val="100"/>
      </c:catAx>
      <c:valAx>
        <c:axId val="93118848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11296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3235935275687873E-2"/>
          <c:y val="6.6339066339066333E-2"/>
          <c:w val="0.89457248100518649"/>
          <c:h val="0.6584766584766587"/>
        </c:manualLayout>
      </c:layout>
      <c:areaChart>
        <c:grouping val="standard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Data!$J$2:$J$25</c:f>
              <c:numCache>
                <c:formatCode>General</c:formatCode>
                <c:ptCount val="24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Data!$K$2:$K$25</c:f>
              <c:numCache>
                <c:formatCode>General</c:formatCode>
                <c:ptCount val="24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Data!$L$2:$L$25</c:f>
              <c:numCache>
                <c:formatCode>General</c:formatCode>
                <c:ptCount val="24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</c:numCache>
            </c:numRef>
          </c:val>
        </c:ser>
        <c:axId val="94845184"/>
        <c:axId val="94846976"/>
      </c:areaChart>
      <c:lineChart>
        <c:grouping val="standard"/>
        <c:ser>
          <c:idx val="0"/>
          <c:order val="0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Data!$U$2:$U$25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</c:ser>
        <c:marker val="1"/>
        <c:axId val="94825088"/>
        <c:axId val="94843648"/>
      </c:lineChart>
      <c:catAx>
        <c:axId val="94825088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843648"/>
        <c:crosses val="autoZero"/>
        <c:auto val="1"/>
        <c:lblAlgn val="ctr"/>
        <c:lblOffset val="100"/>
        <c:tickLblSkip val="1"/>
        <c:tickMarkSkip val="1"/>
      </c:catAx>
      <c:valAx>
        <c:axId val="94843648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825088"/>
        <c:crosses val="autoZero"/>
        <c:crossBetween val="midCat"/>
      </c:valAx>
      <c:catAx>
        <c:axId val="94845184"/>
        <c:scaling>
          <c:orientation val="minMax"/>
        </c:scaling>
        <c:delete val="1"/>
        <c:axPos val="b"/>
        <c:tickLblPos val="none"/>
        <c:crossAx val="94846976"/>
        <c:crosses val="autoZero"/>
        <c:auto val="1"/>
        <c:lblAlgn val="ctr"/>
        <c:lblOffset val="100"/>
      </c:catAx>
      <c:valAx>
        <c:axId val="94846976"/>
        <c:scaling>
          <c:orientation val="minMax"/>
          <c:max val="300"/>
          <c:min val="0"/>
        </c:scaling>
        <c:axPos val="r"/>
        <c:numFmt formatCode="General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8451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3235935275687873E-2"/>
          <c:y val="6.6339066339066333E-2"/>
          <c:w val="0.89457248100518649"/>
          <c:h val="0.6584766584766587"/>
        </c:manualLayout>
      </c:layout>
      <c:areaChart>
        <c:grouping val="standard"/>
        <c:ser>
          <c:idx val="3"/>
          <c:order val="0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Data!$J$122:$J$793</c:f>
              <c:numCache>
                <c:formatCode>General</c:formatCode>
                <c:ptCount val="672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  <c:pt idx="50">
                  <c:v>300</c:v>
                </c:pt>
                <c:pt idx="51">
                  <c:v>300</c:v>
                </c:pt>
                <c:pt idx="52">
                  <c:v>300</c:v>
                </c:pt>
                <c:pt idx="53">
                  <c:v>300</c:v>
                </c:pt>
                <c:pt idx="54">
                  <c:v>300</c:v>
                </c:pt>
                <c:pt idx="55">
                  <c:v>300</c:v>
                </c:pt>
                <c:pt idx="56">
                  <c:v>300</c:v>
                </c:pt>
                <c:pt idx="57">
                  <c:v>300</c:v>
                </c:pt>
                <c:pt idx="58">
                  <c:v>300</c:v>
                </c:pt>
                <c:pt idx="59">
                  <c:v>300</c:v>
                </c:pt>
                <c:pt idx="60">
                  <c:v>300</c:v>
                </c:pt>
                <c:pt idx="61">
                  <c:v>300</c:v>
                </c:pt>
                <c:pt idx="62">
                  <c:v>300</c:v>
                </c:pt>
                <c:pt idx="63">
                  <c:v>300</c:v>
                </c:pt>
                <c:pt idx="64">
                  <c:v>300</c:v>
                </c:pt>
                <c:pt idx="65">
                  <c:v>300</c:v>
                </c:pt>
                <c:pt idx="66">
                  <c:v>300</c:v>
                </c:pt>
                <c:pt idx="67">
                  <c:v>300</c:v>
                </c:pt>
                <c:pt idx="68">
                  <c:v>300</c:v>
                </c:pt>
                <c:pt idx="69">
                  <c:v>300</c:v>
                </c:pt>
                <c:pt idx="70">
                  <c:v>300</c:v>
                </c:pt>
                <c:pt idx="71">
                  <c:v>300</c:v>
                </c:pt>
                <c:pt idx="72">
                  <c:v>300</c:v>
                </c:pt>
                <c:pt idx="73">
                  <c:v>300</c:v>
                </c:pt>
                <c:pt idx="74">
                  <c:v>300</c:v>
                </c:pt>
                <c:pt idx="75">
                  <c:v>300</c:v>
                </c:pt>
                <c:pt idx="76">
                  <c:v>300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</c:v>
                </c:pt>
                <c:pt idx="81">
                  <c:v>300</c:v>
                </c:pt>
                <c:pt idx="82">
                  <c:v>300</c:v>
                </c:pt>
                <c:pt idx="83">
                  <c:v>300</c:v>
                </c:pt>
                <c:pt idx="84">
                  <c:v>300</c:v>
                </c:pt>
                <c:pt idx="85">
                  <c:v>300</c:v>
                </c:pt>
                <c:pt idx="86">
                  <c:v>300</c:v>
                </c:pt>
                <c:pt idx="87">
                  <c:v>300</c:v>
                </c:pt>
                <c:pt idx="88">
                  <c:v>300</c:v>
                </c:pt>
                <c:pt idx="89">
                  <c:v>300</c:v>
                </c:pt>
                <c:pt idx="90">
                  <c:v>300</c:v>
                </c:pt>
                <c:pt idx="91">
                  <c:v>300</c:v>
                </c:pt>
                <c:pt idx="92">
                  <c:v>300</c:v>
                </c:pt>
                <c:pt idx="93">
                  <c:v>300</c:v>
                </c:pt>
                <c:pt idx="94">
                  <c:v>300</c:v>
                </c:pt>
                <c:pt idx="95">
                  <c:v>300</c:v>
                </c:pt>
                <c:pt idx="96">
                  <c:v>300</c:v>
                </c:pt>
                <c:pt idx="97">
                  <c:v>300</c:v>
                </c:pt>
                <c:pt idx="98">
                  <c:v>300</c:v>
                </c:pt>
                <c:pt idx="99">
                  <c:v>300</c:v>
                </c:pt>
                <c:pt idx="100">
                  <c:v>300</c:v>
                </c:pt>
                <c:pt idx="101">
                  <c:v>300</c:v>
                </c:pt>
                <c:pt idx="102">
                  <c:v>300</c:v>
                </c:pt>
                <c:pt idx="103">
                  <c:v>300</c:v>
                </c:pt>
                <c:pt idx="104">
                  <c:v>300</c:v>
                </c:pt>
                <c:pt idx="105">
                  <c:v>300</c:v>
                </c:pt>
                <c:pt idx="106">
                  <c:v>300</c:v>
                </c:pt>
                <c:pt idx="107">
                  <c:v>300</c:v>
                </c:pt>
                <c:pt idx="108">
                  <c:v>300</c:v>
                </c:pt>
                <c:pt idx="109">
                  <c:v>300</c:v>
                </c:pt>
                <c:pt idx="110">
                  <c:v>300</c:v>
                </c:pt>
                <c:pt idx="111">
                  <c:v>300</c:v>
                </c:pt>
                <c:pt idx="112">
                  <c:v>300</c:v>
                </c:pt>
                <c:pt idx="113">
                  <c:v>300</c:v>
                </c:pt>
                <c:pt idx="114">
                  <c:v>300</c:v>
                </c:pt>
                <c:pt idx="115">
                  <c:v>300</c:v>
                </c:pt>
                <c:pt idx="116">
                  <c:v>300</c:v>
                </c:pt>
                <c:pt idx="117">
                  <c:v>300</c:v>
                </c:pt>
                <c:pt idx="118">
                  <c:v>300</c:v>
                </c:pt>
                <c:pt idx="119">
                  <c:v>300</c:v>
                </c:pt>
                <c:pt idx="120">
                  <c:v>300</c:v>
                </c:pt>
                <c:pt idx="121">
                  <c:v>300</c:v>
                </c:pt>
                <c:pt idx="122">
                  <c:v>300</c:v>
                </c:pt>
                <c:pt idx="123">
                  <c:v>300</c:v>
                </c:pt>
                <c:pt idx="124">
                  <c:v>300</c:v>
                </c:pt>
                <c:pt idx="125">
                  <c:v>300</c:v>
                </c:pt>
                <c:pt idx="126">
                  <c:v>300</c:v>
                </c:pt>
                <c:pt idx="127">
                  <c:v>300</c:v>
                </c:pt>
                <c:pt idx="128">
                  <c:v>300</c:v>
                </c:pt>
                <c:pt idx="129">
                  <c:v>300</c:v>
                </c:pt>
                <c:pt idx="130">
                  <c:v>300</c:v>
                </c:pt>
                <c:pt idx="131">
                  <c:v>300</c:v>
                </c:pt>
                <c:pt idx="132">
                  <c:v>300</c:v>
                </c:pt>
                <c:pt idx="133">
                  <c:v>300</c:v>
                </c:pt>
                <c:pt idx="134">
                  <c:v>300</c:v>
                </c:pt>
                <c:pt idx="135">
                  <c:v>300</c:v>
                </c:pt>
                <c:pt idx="136">
                  <c:v>300</c:v>
                </c:pt>
                <c:pt idx="137">
                  <c:v>300</c:v>
                </c:pt>
                <c:pt idx="138">
                  <c:v>300</c:v>
                </c:pt>
                <c:pt idx="139">
                  <c:v>300</c:v>
                </c:pt>
                <c:pt idx="140">
                  <c:v>300</c:v>
                </c:pt>
                <c:pt idx="141">
                  <c:v>300</c:v>
                </c:pt>
                <c:pt idx="142">
                  <c:v>300</c:v>
                </c:pt>
                <c:pt idx="143">
                  <c:v>300</c:v>
                </c:pt>
                <c:pt idx="144">
                  <c:v>300</c:v>
                </c:pt>
                <c:pt idx="145">
                  <c:v>300</c:v>
                </c:pt>
                <c:pt idx="146">
                  <c:v>300</c:v>
                </c:pt>
                <c:pt idx="147">
                  <c:v>300</c:v>
                </c:pt>
                <c:pt idx="148">
                  <c:v>300</c:v>
                </c:pt>
                <c:pt idx="149">
                  <c:v>300</c:v>
                </c:pt>
                <c:pt idx="150">
                  <c:v>300</c:v>
                </c:pt>
                <c:pt idx="151">
                  <c:v>300</c:v>
                </c:pt>
                <c:pt idx="152">
                  <c:v>300</c:v>
                </c:pt>
                <c:pt idx="153">
                  <c:v>300</c:v>
                </c:pt>
                <c:pt idx="154">
                  <c:v>300</c:v>
                </c:pt>
                <c:pt idx="155">
                  <c:v>300</c:v>
                </c:pt>
                <c:pt idx="156">
                  <c:v>300</c:v>
                </c:pt>
                <c:pt idx="157">
                  <c:v>300</c:v>
                </c:pt>
                <c:pt idx="158">
                  <c:v>300</c:v>
                </c:pt>
                <c:pt idx="159">
                  <c:v>300</c:v>
                </c:pt>
                <c:pt idx="160">
                  <c:v>300</c:v>
                </c:pt>
                <c:pt idx="161">
                  <c:v>300</c:v>
                </c:pt>
                <c:pt idx="162">
                  <c:v>300</c:v>
                </c:pt>
                <c:pt idx="163">
                  <c:v>300</c:v>
                </c:pt>
                <c:pt idx="164">
                  <c:v>300</c:v>
                </c:pt>
                <c:pt idx="165">
                  <c:v>300</c:v>
                </c:pt>
                <c:pt idx="166">
                  <c:v>300</c:v>
                </c:pt>
                <c:pt idx="167">
                  <c:v>300</c:v>
                </c:pt>
                <c:pt idx="168">
                  <c:v>300</c:v>
                </c:pt>
                <c:pt idx="169">
                  <c:v>300</c:v>
                </c:pt>
                <c:pt idx="170">
                  <c:v>300</c:v>
                </c:pt>
                <c:pt idx="171">
                  <c:v>300</c:v>
                </c:pt>
                <c:pt idx="172">
                  <c:v>300</c:v>
                </c:pt>
                <c:pt idx="173">
                  <c:v>300</c:v>
                </c:pt>
                <c:pt idx="174">
                  <c:v>300</c:v>
                </c:pt>
                <c:pt idx="175">
                  <c:v>300</c:v>
                </c:pt>
                <c:pt idx="176">
                  <c:v>300</c:v>
                </c:pt>
                <c:pt idx="177">
                  <c:v>300</c:v>
                </c:pt>
                <c:pt idx="178">
                  <c:v>300</c:v>
                </c:pt>
                <c:pt idx="179">
                  <c:v>300</c:v>
                </c:pt>
                <c:pt idx="180">
                  <c:v>300</c:v>
                </c:pt>
                <c:pt idx="181">
                  <c:v>300</c:v>
                </c:pt>
                <c:pt idx="182">
                  <c:v>300</c:v>
                </c:pt>
                <c:pt idx="183">
                  <c:v>300</c:v>
                </c:pt>
                <c:pt idx="184">
                  <c:v>300</c:v>
                </c:pt>
                <c:pt idx="185">
                  <c:v>300</c:v>
                </c:pt>
                <c:pt idx="186">
                  <c:v>300</c:v>
                </c:pt>
                <c:pt idx="187">
                  <c:v>300</c:v>
                </c:pt>
                <c:pt idx="188">
                  <c:v>300</c:v>
                </c:pt>
                <c:pt idx="189">
                  <c:v>300</c:v>
                </c:pt>
                <c:pt idx="190">
                  <c:v>300</c:v>
                </c:pt>
                <c:pt idx="191">
                  <c:v>300</c:v>
                </c:pt>
                <c:pt idx="192">
                  <c:v>300</c:v>
                </c:pt>
                <c:pt idx="193">
                  <c:v>300</c:v>
                </c:pt>
                <c:pt idx="194">
                  <c:v>300</c:v>
                </c:pt>
                <c:pt idx="195">
                  <c:v>300</c:v>
                </c:pt>
                <c:pt idx="196">
                  <c:v>300</c:v>
                </c:pt>
                <c:pt idx="197">
                  <c:v>300</c:v>
                </c:pt>
                <c:pt idx="198">
                  <c:v>300</c:v>
                </c:pt>
                <c:pt idx="199">
                  <c:v>300</c:v>
                </c:pt>
                <c:pt idx="200">
                  <c:v>300</c:v>
                </c:pt>
                <c:pt idx="201">
                  <c:v>300</c:v>
                </c:pt>
                <c:pt idx="202">
                  <c:v>300</c:v>
                </c:pt>
                <c:pt idx="203">
                  <c:v>300</c:v>
                </c:pt>
                <c:pt idx="204">
                  <c:v>300</c:v>
                </c:pt>
                <c:pt idx="205">
                  <c:v>300</c:v>
                </c:pt>
                <c:pt idx="206">
                  <c:v>300</c:v>
                </c:pt>
                <c:pt idx="207">
                  <c:v>300</c:v>
                </c:pt>
                <c:pt idx="208">
                  <c:v>300</c:v>
                </c:pt>
                <c:pt idx="209">
                  <c:v>300</c:v>
                </c:pt>
                <c:pt idx="210">
                  <c:v>300</c:v>
                </c:pt>
                <c:pt idx="211">
                  <c:v>300</c:v>
                </c:pt>
                <c:pt idx="212">
                  <c:v>300</c:v>
                </c:pt>
                <c:pt idx="213">
                  <c:v>300</c:v>
                </c:pt>
                <c:pt idx="214">
                  <c:v>300</c:v>
                </c:pt>
                <c:pt idx="215">
                  <c:v>300</c:v>
                </c:pt>
                <c:pt idx="216">
                  <c:v>300</c:v>
                </c:pt>
                <c:pt idx="217">
                  <c:v>300</c:v>
                </c:pt>
                <c:pt idx="218">
                  <c:v>300</c:v>
                </c:pt>
                <c:pt idx="219">
                  <c:v>300</c:v>
                </c:pt>
                <c:pt idx="220">
                  <c:v>300</c:v>
                </c:pt>
                <c:pt idx="221">
                  <c:v>300</c:v>
                </c:pt>
                <c:pt idx="222">
                  <c:v>300</c:v>
                </c:pt>
                <c:pt idx="223">
                  <c:v>300</c:v>
                </c:pt>
                <c:pt idx="224">
                  <c:v>300</c:v>
                </c:pt>
                <c:pt idx="225">
                  <c:v>300</c:v>
                </c:pt>
                <c:pt idx="226">
                  <c:v>300</c:v>
                </c:pt>
                <c:pt idx="227">
                  <c:v>300</c:v>
                </c:pt>
                <c:pt idx="228">
                  <c:v>300</c:v>
                </c:pt>
                <c:pt idx="229">
                  <c:v>300</c:v>
                </c:pt>
                <c:pt idx="230">
                  <c:v>300</c:v>
                </c:pt>
                <c:pt idx="231">
                  <c:v>300</c:v>
                </c:pt>
                <c:pt idx="232">
                  <c:v>300</c:v>
                </c:pt>
                <c:pt idx="233">
                  <c:v>300</c:v>
                </c:pt>
                <c:pt idx="234">
                  <c:v>300</c:v>
                </c:pt>
                <c:pt idx="235">
                  <c:v>300</c:v>
                </c:pt>
                <c:pt idx="236">
                  <c:v>300</c:v>
                </c:pt>
                <c:pt idx="237">
                  <c:v>300</c:v>
                </c:pt>
                <c:pt idx="238">
                  <c:v>300</c:v>
                </c:pt>
                <c:pt idx="239">
                  <c:v>300</c:v>
                </c:pt>
                <c:pt idx="240">
                  <c:v>300</c:v>
                </c:pt>
                <c:pt idx="241">
                  <c:v>300</c:v>
                </c:pt>
                <c:pt idx="242">
                  <c:v>300</c:v>
                </c:pt>
                <c:pt idx="243">
                  <c:v>300</c:v>
                </c:pt>
                <c:pt idx="244">
                  <c:v>300</c:v>
                </c:pt>
                <c:pt idx="245">
                  <c:v>300</c:v>
                </c:pt>
                <c:pt idx="246">
                  <c:v>300</c:v>
                </c:pt>
                <c:pt idx="247">
                  <c:v>300</c:v>
                </c:pt>
                <c:pt idx="248">
                  <c:v>300</c:v>
                </c:pt>
                <c:pt idx="249">
                  <c:v>300</c:v>
                </c:pt>
                <c:pt idx="250">
                  <c:v>300</c:v>
                </c:pt>
                <c:pt idx="251">
                  <c:v>300</c:v>
                </c:pt>
                <c:pt idx="252">
                  <c:v>300</c:v>
                </c:pt>
                <c:pt idx="253">
                  <c:v>300</c:v>
                </c:pt>
                <c:pt idx="254">
                  <c:v>300</c:v>
                </c:pt>
                <c:pt idx="255">
                  <c:v>300</c:v>
                </c:pt>
                <c:pt idx="256">
                  <c:v>300</c:v>
                </c:pt>
                <c:pt idx="257">
                  <c:v>300</c:v>
                </c:pt>
                <c:pt idx="258">
                  <c:v>300</c:v>
                </c:pt>
                <c:pt idx="259">
                  <c:v>300</c:v>
                </c:pt>
                <c:pt idx="260">
                  <c:v>300</c:v>
                </c:pt>
                <c:pt idx="261">
                  <c:v>300</c:v>
                </c:pt>
                <c:pt idx="262">
                  <c:v>300</c:v>
                </c:pt>
                <c:pt idx="263">
                  <c:v>300</c:v>
                </c:pt>
                <c:pt idx="264">
                  <c:v>300</c:v>
                </c:pt>
                <c:pt idx="265">
                  <c:v>300</c:v>
                </c:pt>
                <c:pt idx="266">
                  <c:v>300</c:v>
                </c:pt>
                <c:pt idx="267">
                  <c:v>300</c:v>
                </c:pt>
                <c:pt idx="268">
                  <c:v>300</c:v>
                </c:pt>
                <c:pt idx="269">
                  <c:v>300</c:v>
                </c:pt>
                <c:pt idx="270">
                  <c:v>300</c:v>
                </c:pt>
                <c:pt idx="271">
                  <c:v>300</c:v>
                </c:pt>
                <c:pt idx="272">
                  <c:v>300</c:v>
                </c:pt>
                <c:pt idx="273">
                  <c:v>300</c:v>
                </c:pt>
                <c:pt idx="274">
                  <c:v>300</c:v>
                </c:pt>
                <c:pt idx="275">
                  <c:v>300</c:v>
                </c:pt>
                <c:pt idx="276">
                  <c:v>300</c:v>
                </c:pt>
                <c:pt idx="277">
                  <c:v>300</c:v>
                </c:pt>
                <c:pt idx="278">
                  <c:v>300</c:v>
                </c:pt>
                <c:pt idx="279">
                  <c:v>300</c:v>
                </c:pt>
                <c:pt idx="280">
                  <c:v>300</c:v>
                </c:pt>
                <c:pt idx="281">
                  <c:v>300</c:v>
                </c:pt>
                <c:pt idx="282">
                  <c:v>300</c:v>
                </c:pt>
                <c:pt idx="283">
                  <c:v>300</c:v>
                </c:pt>
                <c:pt idx="284">
                  <c:v>300</c:v>
                </c:pt>
                <c:pt idx="285">
                  <c:v>300</c:v>
                </c:pt>
                <c:pt idx="286">
                  <c:v>300</c:v>
                </c:pt>
                <c:pt idx="287">
                  <c:v>300</c:v>
                </c:pt>
                <c:pt idx="288">
                  <c:v>300</c:v>
                </c:pt>
                <c:pt idx="289">
                  <c:v>300</c:v>
                </c:pt>
                <c:pt idx="290">
                  <c:v>300</c:v>
                </c:pt>
                <c:pt idx="291">
                  <c:v>300</c:v>
                </c:pt>
                <c:pt idx="292">
                  <c:v>300</c:v>
                </c:pt>
                <c:pt idx="293">
                  <c:v>300</c:v>
                </c:pt>
                <c:pt idx="294">
                  <c:v>300</c:v>
                </c:pt>
                <c:pt idx="295">
                  <c:v>300</c:v>
                </c:pt>
                <c:pt idx="296">
                  <c:v>300</c:v>
                </c:pt>
                <c:pt idx="297">
                  <c:v>300</c:v>
                </c:pt>
                <c:pt idx="298">
                  <c:v>300</c:v>
                </c:pt>
                <c:pt idx="299">
                  <c:v>300</c:v>
                </c:pt>
                <c:pt idx="300">
                  <c:v>300</c:v>
                </c:pt>
                <c:pt idx="301">
                  <c:v>300</c:v>
                </c:pt>
                <c:pt idx="302">
                  <c:v>300</c:v>
                </c:pt>
                <c:pt idx="303">
                  <c:v>300</c:v>
                </c:pt>
                <c:pt idx="304">
                  <c:v>300</c:v>
                </c:pt>
                <c:pt idx="305">
                  <c:v>300</c:v>
                </c:pt>
                <c:pt idx="306">
                  <c:v>300</c:v>
                </c:pt>
                <c:pt idx="307">
                  <c:v>300</c:v>
                </c:pt>
                <c:pt idx="308">
                  <c:v>300</c:v>
                </c:pt>
                <c:pt idx="309">
                  <c:v>300</c:v>
                </c:pt>
                <c:pt idx="310">
                  <c:v>300</c:v>
                </c:pt>
                <c:pt idx="311">
                  <c:v>300</c:v>
                </c:pt>
                <c:pt idx="312">
                  <c:v>300</c:v>
                </c:pt>
                <c:pt idx="313">
                  <c:v>300</c:v>
                </c:pt>
                <c:pt idx="314">
                  <c:v>300</c:v>
                </c:pt>
                <c:pt idx="315">
                  <c:v>300</c:v>
                </c:pt>
                <c:pt idx="316">
                  <c:v>300</c:v>
                </c:pt>
                <c:pt idx="317">
                  <c:v>300</c:v>
                </c:pt>
                <c:pt idx="318">
                  <c:v>300</c:v>
                </c:pt>
                <c:pt idx="319">
                  <c:v>300</c:v>
                </c:pt>
                <c:pt idx="320">
                  <c:v>300</c:v>
                </c:pt>
                <c:pt idx="321">
                  <c:v>300</c:v>
                </c:pt>
                <c:pt idx="322">
                  <c:v>300</c:v>
                </c:pt>
                <c:pt idx="323">
                  <c:v>300</c:v>
                </c:pt>
                <c:pt idx="324">
                  <c:v>300</c:v>
                </c:pt>
                <c:pt idx="325">
                  <c:v>300</c:v>
                </c:pt>
                <c:pt idx="326">
                  <c:v>300</c:v>
                </c:pt>
                <c:pt idx="327">
                  <c:v>300</c:v>
                </c:pt>
                <c:pt idx="328">
                  <c:v>300</c:v>
                </c:pt>
                <c:pt idx="329">
                  <c:v>300</c:v>
                </c:pt>
                <c:pt idx="330">
                  <c:v>300</c:v>
                </c:pt>
                <c:pt idx="331">
                  <c:v>300</c:v>
                </c:pt>
                <c:pt idx="332">
                  <c:v>300</c:v>
                </c:pt>
                <c:pt idx="333">
                  <c:v>300</c:v>
                </c:pt>
                <c:pt idx="334">
                  <c:v>300</c:v>
                </c:pt>
                <c:pt idx="335">
                  <c:v>300</c:v>
                </c:pt>
                <c:pt idx="336">
                  <c:v>300</c:v>
                </c:pt>
                <c:pt idx="337">
                  <c:v>300</c:v>
                </c:pt>
                <c:pt idx="338">
                  <c:v>300</c:v>
                </c:pt>
                <c:pt idx="339">
                  <c:v>300</c:v>
                </c:pt>
                <c:pt idx="340">
                  <c:v>300</c:v>
                </c:pt>
                <c:pt idx="341">
                  <c:v>300</c:v>
                </c:pt>
                <c:pt idx="342">
                  <c:v>300</c:v>
                </c:pt>
                <c:pt idx="343">
                  <c:v>300</c:v>
                </c:pt>
                <c:pt idx="344">
                  <c:v>300</c:v>
                </c:pt>
                <c:pt idx="345">
                  <c:v>300</c:v>
                </c:pt>
                <c:pt idx="346">
                  <c:v>300</c:v>
                </c:pt>
                <c:pt idx="347">
                  <c:v>300</c:v>
                </c:pt>
                <c:pt idx="348">
                  <c:v>300</c:v>
                </c:pt>
                <c:pt idx="349">
                  <c:v>300</c:v>
                </c:pt>
                <c:pt idx="350">
                  <c:v>300</c:v>
                </c:pt>
                <c:pt idx="351">
                  <c:v>300</c:v>
                </c:pt>
                <c:pt idx="352">
                  <c:v>300</c:v>
                </c:pt>
                <c:pt idx="353">
                  <c:v>300</c:v>
                </c:pt>
                <c:pt idx="354">
                  <c:v>300</c:v>
                </c:pt>
                <c:pt idx="355">
                  <c:v>300</c:v>
                </c:pt>
                <c:pt idx="356">
                  <c:v>300</c:v>
                </c:pt>
                <c:pt idx="357">
                  <c:v>300</c:v>
                </c:pt>
                <c:pt idx="358">
                  <c:v>300</c:v>
                </c:pt>
                <c:pt idx="359">
                  <c:v>300</c:v>
                </c:pt>
                <c:pt idx="360">
                  <c:v>300</c:v>
                </c:pt>
                <c:pt idx="361">
                  <c:v>300</c:v>
                </c:pt>
                <c:pt idx="362">
                  <c:v>300</c:v>
                </c:pt>
                <c:pt idx="363">
                  <c:v>300</c:v>
                </c:pt>
                <c:pt idx="364">
                  <c:v>300</c:v>
                </c:pt>
                <c:pt idx="365">
                  <c:v>300</c:v>
                </c:pt>
                <c:pt idx="366">
                  <c:v>300</c:v>
                </c:pt>
                <c:pt idx="367">
                  <c:v>300</c:v>
                </c:pt>
                <c:pt idx="368">
                  <c:v>300</c:v>
                </c:pt>
                <c:pt idx="369">
                  <c:v>300</c:v>
                </c:pt>
                <c:pt idx="370">
                  <c:v>300</c:v>
                </c:pt>
                <c:pt idx="371">
                  <c:v>300</c:v>
                </c:pt>
                <c:pt idx="372">
                  <c:v>300</c:v>
                </c:pt>
                <c:pt idx="373">
                  <c:v>300</c:v>
                </c:pt>
                <c:pt idx="374">
                  <c:v>300</c:v>
                </c:pt>
                <c:pt idx="375">
                  <c:v>300</c:v>
                </c:pt>
                <c:pt idx="376">
                  <c:v>300</c:v>
                </c:pt>
                <c:pt idx="377">
                  <c:v>300</c:v>
                </c:pt>
                <c:pt idx="378">
                  <c:v>300</c:v>
                </c:pt>
                <c:pt idx="379">
                  <c:v>300</c:v>
                </c:pt>
                <c:pt idx="380">
                  <c:v>300</c:v>
                </c:pt>
                <c:pt idx="381">
                  <c:v>300</c:v>
                </c:pt>
                <c:pt idx="382">
                  <c:v>300</c:v>
                </c:pt>
                <c:pt idx="383">
                  <c:v>300</c:v>
                </c:pt>
                <c:pt idx="384">
                  <c:v>300</c:v>
                </c:pt>
                <c:pt idx="385">
                  <c:v>300</c:v>
                </c:pt>
                <c:pt idx="386">
                  <c:v>300</c:v>
                </c:pt>
                <c:pt idx="387">
                  <c:v>300</c:v>
                </c:pt>
                <c:pt idx="388">
                  <c:v>300</c:v>
                </c:pt>
                <c:pt idx="389">
                  <c:v>300</c:v>
                </c:pt>
                <c:pt idx="390">
                  <c:v>300</c:v>
                </c:pt>
                <c:pt idx="391">
                  <c:v>300</c:v>
                </c:pt>
                <c:pt idx="392">
                  <c:v>300</c:v>
                </c:pt>
                <c:pt idx="393">
                  <c:v>300</c:v>
                </c:pt>
                <c:pt idx="394">
                  <c:v>300</c:v>
                </c:pt>
                <c:pt idx="395">
                  <c:v>300</c:v>
                </c:pt>
                <c:pt idx="396">
                  <c:v>300</c:v>
                </c:pt>
                <c:pt idx="397">
                  <c:v>300</c:v>
                </c:pt>
                <c:pt idx="398">
                  <c:v>300</c:v>
                </c:pt>
                <c:pt idx="399">
                  <c:v>300</c:v>
                </c:pt>
                <c:pt idx="400">
                  <c:v>300</c:v>
                </c:pt>
                <c:pt idx="401">
                  <c:v>300</c:v>
                </c:pt>
                <c:pt idx="402">
                  <c:v>300</c:v>
                </c:pt>
                <c:pt idx="403">
                  <c:v>300</c:v>
                </c:pt>
                <c:pt idx="404">
                  <c:v>300</c:v>
                </c:pt>
                <c:pt idx="405">
                  <c:v>300</c:v>
                </c:pt>
                <c:pt idx="406">
                  <c:v>300</c:v>
                </c:pt>
                <c:pt idx="407">
                  <c:v>300</c:v>
                </c:pt>
                <c:pt idx="408">
                  <c:v>300</c:v>
                </c:pt>
                <c:pt idx="409">
                  <c:v>300</c:v>
                </c:pt>
                <c:pt idx="410">
                  <c:v>300</c:v>
                </c:pt>
                <c:pt idx="411">
                  <c:v>300</c:v>
                </c:pt>
                <c:pt idx="412">
                  <c:v>300</c:v>
                </c:pt>
                <c:pt idx="413">
                  <c:v>300</c:v>
                </c:pt>
                <c:pt idx="414">
                  <c:v>300</c:v>
                </c:pt>
                <c:pt idx="415">
                  <c:v>300</c:v>
                </c:pt>
                <c:pt idx="416">
                  <c:v>300</c:v>
                </c:pt>
                <c:pt idx="417">
                  <c:v>300</c:v>
                </c:pt>
                <c:pt idx="418">
                  <c:v>300</c:v>
                </c:pt>
                <c:pt idx="419">
                  <c:v>300</c:v>
                </c:pt>
                <c:pt idx="420">
                  <c:v>300</c:v>
                </c:pt>
                <c:pt idx="421">
                  <c:v>300</c:v>
                </c:pt>
                <c:pt idx="422">
                  <c:v>300</c:v>
                </c:pt>
                <c:pt idx="423">
                  <c:v>300</c:v>
                </c:pt>
                <c:pt idx="424">
                  <c:v>300</c:v>
                </c:pt>
                <c:pt idx="425">
                  <c:v>300</c:v>
                </c:pt>
                <c:pt idx="426">
                  <c:v>300</c:v>
                </c:pt>
                <c:pt idx="427">
                  <c:v>300</c:v>
                </c:pt>
                <c:pt idx="428">
                  <c:v>300</c:v>
                </c:pt>
                <c:pt idx="429">
                  <c:v>300</c:v>
                </c:pt>
                <c:pt idx="430">
                  <c:v>300</c:v>
                </c:pt>
                <c:pt idx="431">
                  <c:v>300</c:v>
                </c:pt>
                <c:pt idx="432">
                  <c:v>300</c:v>
                </c:pt>
                <c:pt idx="433">
                  <c:v>300</c:v>
                </c:pt>
                <c:pt idx="434">
                  <c:v>300</c:v>
                </c:pt>
                <c:pt idx="435">
                  <c:v>300</c:v>
                </c:pt>
                <c:pt idx="436">
                  <c:v>300</c:v>
                </c:pt>
                <c:pt idx="437">
                  <c:v>300</c:v>
                </c:pt>
                <c:pt idx="438">
                  <c:v>300</c:v>
                </c:pt>
                <c:pt idx="439">
                  <c:v>300</c:v>
                </c:pt>
                <c:pt idx="440">
                  <c:v>300</c:v>
                </c:pt>
                <c:pt idx="441">
                  <c:v>300</c:v>
                </c:pt>
                <c:pt idx="442">
                  <c:v>300</c:v>
                </c:pt>
                <c:pt idx="443">
                  <c:v>300</c:v>
                </c:pt>
                <c:pt idx="444">
                  <c:v>300</c:v>
                </c:pt>
                <c:pt idx="445">
                  <c:v>300</c:v>
                </c:pt>
                <c:pt idx="446">
                  <c:v>300</c:v>
                </c:pt>
                <c:pt idx="447">
                  <c:v>300</c:v>
                </c:pt>
                <c:pt idx="448">
                  <c:v>300</c:v>
                </c:pt>
                <c:pt idx="449">
                  <c:v>300</c:v>
                </c:pt>
                <c:pt idx="450">
                  <c:v>300</c:v>
                </c:pt>
                <c:pt idx="451">
                  <c:v>300</c:v>
                </c:pt>
                <c:pt idx="452">
                  <c:v>300</c:v>
                </c:pt>
                <c:pt idx="453">
                  <c:v>300</c:v>
                </c:pt>
                <c:pt idx="454">
                  <c:v>300</c:v>
                </c:pt>
                <c:pt idx="455">
                  <c:v>300</c:v>
                </c:pt>
                <c:pt idx="456">
                  <c:v>300</c:v>
                </c:pt>
                <c:pt idx="457">
                  <c:v>300</c:v>
                </c:pt>
                <c:pt idx="458">
                  <c:v>300</c:v>
                </c:pt>
                <c:pt idx="459">
                  <c:v>300</c:v>
                </c:pt>
                <c:pt idx="460">
                  <c:v>300</c:v>
                </c:pt>
                <c:pt idx="461">
                  <c:v>300</c:v>
                </c:pt>
                <c:pt idx="462">
                  <c:v>300</c:v>
                </c:pt>
                <c:pt idx="463">
                  <c:v>300</c:v>
                </c:pt>
                <c:pt idx="464">
                  <c:v>300</c:v>
                </c:pt>
                <c:pt idx="465">
                  <c:v>300</c:v>
                </c:pt>
                <c:pt idx="466">
                  <c:v>300</c:v>
                </c:pt>
                <c:pt idx="467">
                  <c:v>300</c:v>
                </c:pt>
                <c:pt idx="468">
                  <c:v>300</c:v>
                </c:pt>
                <c:pt idx="469">
                  <c:v>300</c:v>
                </c:pt>
                <c:pt idx="470">
                  <c:v>300</c:v>
                </c:pt>
                <c:pt idx="471">
                  <c:v>300</c:v>
                </c:pt>
                <c:pt idx="472">
                  <c:v>300</c:v>
                </c:pt>
                <c:pt idx="473">
                  <c:v>300</c:v>
                </c:pt>
                <c:pt idx="474">
                  <c:v>300</c:v>
                </c:pt>
                <c:pt idx="475">
                  <c:v>300</c:v>
                </c:pt>
                <c:pt idx="476">
                  <c:v>300</c:v>
                </c:pt>
                <c:pt idx="477">
                  <c:v>300</c:v>
                </c:pt>
                <c:pt idx="478">
                  <c:v>300</c:v>
                </c:pt>
                <c:pt idx="479">
                  <c:v>300</c:v>
                </c:pt>
                <c:pt idx="480">
                  <c:v>300</c:v>
                </c:pt>
                <c:pt idx="481">
                  <c:v>300</c:v>
                </c:pt>
                <c:pt idx="482">
                  <c:v>300</c:v>
                </c:pt>
                <c:pt idx="483">
                  <c:v>300</c:v>
                </c:pt>
                <c:pt idx="484">
                  <c:v>300</c:v>
                </c:pt>
                <c:pt idx="485">
                  <c:v>300</c:v>
                </c:pt>
                <c:pt idx="486">
                  <c:v>300</c:v>
                </c:pt>
                <c:pt idx="487">
                  <c:v>300</c:v>
                </c:pt>
                <c:pt idx="488">
                  <c:v>300</c:v>
                </c:pt>
                <c:pt idx="489">
                  <c:v>300</c:v>
                </c:pt>
                <c:pt idx="490">
                  <c:v>300</c:v>
                </c:pt>
                <c:pt idx="491">
                  <c:v>300</c:v>
                </c:pt>
                <c:pt idx="492">
                  <c:v>300</c:v>
                </c:pt>
                <c:pt idx="493">
                  <c:v>300</c:v>
                </c:pt>
                <c:pt idx="494">
                  <c:v>300</c:v>
                </c:pt>
                <c:pt idx="495">
                  <c:v>300</c:v>
                </c:pt>
                <c:pt idx="496">
                  <c:v>300</c:v>
                </c:pt>
                <c:pt idx="497">
                  <c:v>300</c:v>
                </c:pt>
                <c:pt idx="498">
                  <c:v>300</c:v>
                </c:pt>
                <c:pt idx="499">
                  <c:v>300</c:v>
                </c:pt>
                <c:pt idx="500">
                  <c:v>300</c:v>
                </c:pt>
                <c:pt idx="501">
                  <c:v>300</c:v>
                </c:pt>
                <c:pt idx="502">
                  <c:v>300</c:v>
                </c:pt>
                <c:pt idx="503">
                  <c:v>300</c:v>
                </c:pt>
                <c:pt idx="504">
                  <c:v>300</c:v>
                </c:pt>
                <c:pt idx="505">
                  <c:v>300</c:v>
                </c:pt>
                <c:pt idx="506">
                  <c:v>300</c:v>
                </c:pt>
                <c:pt idx="507">
                  <c:v>300</c:v>
                </c:pt>
                <c:pt idx="508">
                  <c:v>300</c:v>
                </c:pt>
                <c:pt idx="509">
                  <c:v>300</c:v>
                </c:pt>
                <c:pt idx="510">
                  <c:v>300</c:v>
                </c:pt>
                <c:pt idx="511">
                  <c:v>300</c:v>
                </c:pt>
                <c:pt idx="512">
                  <c:v>300</c:v>
                </c:pt>
                <c:pt idx="513">
                  <c:v>300</c:v>
                </c:pt>
                <c:pt idx="514">
                  <c:v>300</c:v>
                </c:pt>
                <c:pt idx="515">
                  <c:v>300</c:v>
                </c:pt>
                <c:pt idx="516">
                  <c:v>300</c:v>
                </c:pt>
                <c:pt idx="517">
                  <c:v>300</c:v>
                </c:pt>
                <c:pt idx="518">
                  <c:v>300</c:v>
                </c:pt>
                <c:pt idx="519">
                  <c:v>300</c:v>
                </c:pt>
                <c:pt idx="520">
                  <c:v>300</c:v>
                </c:pt>
                <c:pt idx="521">
                  <c:v>300</c:v>
                </c:pt>
                <c:pt idx="522">
                  <c:v>300</c:v>
                </c:pt>
                <c:pt idx="523">
                  <c:v>300</c:v>
                </c:pt>
                <c:pt idx="524">
                  <c:v>300</c:v>
                </c:pt>
                <c:pt idx="525">
                  <c:v>300</c:v>
                </c:pt>
                <c:pt idx="526">
                  <c:v>300</c:v>
                </c:pt>
                <c:pt idx="527">
                  <c:v>300</c:v>
                </c:pt>
                <c:pt idx="528">
                  <c:v>300</c:v>
                </c:pt>
                <c:pt idx="529">
                  <c:v>300</c:v>
                </c:pt>
                <c:pt idx="530">
                  <c:v>300</c:v>
                </c:pt>
                <c:pt idx="531">
                  <c:v>300</c:v>
                </c:pt>
                <c:pt idx="532">
                  <c:v>300</c:v>
                </c:pt>
                <c:pt idx="533">
                  <c:v>300</c:v>
                </c:pt>
                <c:pt idx="534">
                  <c:v>300</c:v>
                </c:pt>
                <c:pt idx="535">
                  <c:v>300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300</c:v>
                </c:pt>
                <c:pt idx="540">
                  <c:v>300</c:v>
                </c:pt>
                <c:pt idx="541">
                  <c:v>300</c:v>
                </c:pt>
                <c:pt idx="542">
                  <c:v>300</c:v>
                </c:pt>
                <c:pt idx="543">
                  <c:v>300</c:v>
                </c:pt>
                <c:pt idx="544">
                  <c:v>300</c:v>
                </c:pt>
                <c:pt idx="545">
                  <c:v>300</c:v>
                </c:pt>
                <c:pt idx="546">
                  <c:v>300</c:v>
                </c:pt>
                <c:pt idx="547">
                  <c:v>300</c:v>
                </c:pt>
                <c:pt idx="548">
                  <c:v>300</c:v>
                </c:pt>
                <c:pt idx="549">
                  <c:v>300</c:v>
                </c:pt>
                <c:pt idx="550">
                  <c:v>300</c:v>
                </c:pt>
                <c:pt idx="551">
                  <c:v>300</c:v>
                </c:pt>
                <c:pt idx="552">
                  <c:v>300</c:v>
                </c:pt>
                <c:pt idx="553">
                  <c:v>300</c:v>
                </c:pt>
                <c:pt idx="554">
                  <c:v>300</c:v>
                </c:pt>
                <c:pt idx="555">
                  <c:v>300</c:v>
                </c:pt>
                <c:pt idx="556">
                  <c:v>300</c:v>
                </c:pt>
                <c:pt idx="557">
                  <c:v>300</c:v>
                </c:pt>
                <c:pt idx="558">
                  <c:v>300</c:v>
                </c:pt>
                <c:pt idx="559">
                  <c:v>300</c:v>
                </c:pt>
                <c:pt idx="560">
                  <c:v>300</c:v>
                </c:pt>
                <c:pt idx="561">
                  <c:v>300</c:v>
                </c:pt>
                <c:pt idx="562">
                  <c:v>300</c:v>
                </c:pt>
                <c:pt idx="563">
                  <c:v>300</c:v>
                </c:pt>
                <c:pt idx="564">
                  <c:v>300</c:v>
                </c:pt>
                <c:pt idx="565">
                  <c:v>300</c:v>
                </c:pt>
                <c:pt idx="566">
                  <c:v>300</c:v>
                </c:pt>
                <c:pt idx="567">
                  <c:v>300</c:v>
                </c:pt>
                <c:pt idx="568">
                  <c:v>300</c:v>
                </c:pt>
                <c:pt idx="569">
                  <c:v>300</c:v>
                </c:pt>
                <c:pt idx="570">
                  <c:v>300</c:v>
                </c:pt>
                <c:pt idx="571">
                  <c:v>300</c:v>
                </c:pt>
                <c:pt idx="572">
                  <c:v>300</c:v>
                </c:pt>
                <c:pt idx="573">
                  <c:v>300</c:v>
                </c:pt>
                <c:pt idx="574">
                  <c:v>300</c:v>
                </c:pt>
                <c:pt idx="575">
                  <c:v>300</c:v>
                </c:pt>
                <c:pt idx="576">
                  <c:v>300</c:v>
                </c:pt>
                <c:pt idx="577">
                  <c:v>300</c:v>
                </c:pt>
                <c:pt idx="578">
                  <c:v>300</c:v>
                </c:pt>
                <c:pt idx="579">
                  <c:v>300</c:v>
                </c:pt>
                <c:pt idx="580">
                  <c:v>300</c:v>
                </c:pt>
                <c:pt idx="581">
                  <c:v>300</c:v>
                </c:pt>
                <c:pt idx="582">
                  <c:v>300</c:v>
                </c:pt>
                <c:pt idx="583">
                  <c:v>300</c:v>
                </c:pt>
                <c:pt idx="584">
                  <c:v>300</c:v>
                </c:pt>
                <c:pt idx="585">
                  <c:v>300</c:v>
                </c:pt>
                <c:pt idx="586">
                  <c:v>300</c:v>
                </c:pt>
                <c:pt idx="587">
                  <c:v>300</c:v>
                </c:pt>
                <c:pt idx="588">
                  <c:v>300</c:v>
                </c:pt>
                <c:pt idx="589">
                  <c:v>300</c:v>
                </c:pt>
                <c:pt idx="590">
                  <c:v>300</c:v>
                </c:pt>
                <c:pt idx="591">
                  <c:v>300</c:v>
                </c:pt>
                <c:pt idx="592">
                  <c:v>300</c:v>
                </c:pt>
                <c:pt idx="593">
                  <c:v>300</c:v>
                </c:pt>
                <c:pt idx="594">
                  <c:v>300</c:v>
                </c:pt>
                <c:pt idx="595">
                  <c:v>300</c:v>
                </c:pt>
                <c:pt idx="596">
                  <c:v>300</c:v>
                </c:pt>
                <c:pt idx="597">
                  <c:v>300</c:v>
                </c:pt>
                <c:pt idx="598">
                  <c:v>300</c:v>
                </c:pt>
                <c:pt idx="599">
                  <c:v>300</c:v>
                </c:pt>
                <c:pt idx="600">
                  <c:v>300</c:v>
                </c:pt>
                <c:pt idx="601">
                  <c:v>300</c:v>
                </c:pt>
                <c:pt idx="602">
                  <c:v>300</c:v>
                </c:pt>
                <c:pt idx="603">
                  <c:v>300</c:v>
                </c:pt>
                <c:pt idx="604">
                  <c:v>300</c:v>
                </c:pt>
                <c:pt idx="605">
                  <c:v>300</c:v>
                </c:pt>
                <c:pt idx="606">
                  <c:v>300</c:v>
                </c:pt>
                <c:pt idx="607">
                  <c:v>300</c:v>
                </c:pt>
                <c:pt idx="608">
                  <c:v>300</c:v>
                </c:pt>
                <c:pt idx="609">
                  <c:v>300</c:v>
                </c:pt>
                <c:pt idx="610">
                  <c:v>300</c:v>
                </c:pt>
                <c:pt idx="611">
                  <c:v>300</c:v>
                </c:pt>
                <c:pt idx="612">
                  <c:v>300</c:v>
                </c:pt>
                <c:pt idx="613">
                  <c:v>300</c:v>
                </c:pt>
                <c:pt idx="614">
                  <c:v>300</c:v>
                </c:pt>
                <c:pt idx="615">
                  <c:v>300</c:v>
                </c:pt>
                <c:pt idx="616">
                  <c:v>300</c:v>
                </c:pt>
                <c:pt idx="617">
                  <c:v>300</c:v>
                </c:pt>
                <c:pt idx="618">
                  <c:v>300</c:v>
                </c:pt>
                <c:pt idx="619">
                  <c:v>300</c:v>
                </c:pt>
                <c:pt idx="620">
                  <c:v>300</c:v>
                </c:pt>
                <c:pt idx="621">
                  <c:v>300</c:v>
                </c:pt>
                <c:pt idx="622">
                  <c:v>300</c:v>
                </c:pt>
                <c:pt idx="623">
                  <c:v>300</c:v>
                </c:pt>
                <c:pt idx="624">
                  <c:v>300</c:v>
                </c:pt>
                <c:pt idx="625">
                  <c:v>300</c:v>
                </c:pt>
                <c:pt idx="626">
                  <c:v>300</c:v>
                </c:pt>
                <c:pt idx="627">
                  <c:v>300</c:v>
                </c:pt>
                <c:pt idx="628">
                  <c:v>300</c:v>
                </c:pt>
                <c:pt idx="629">
                  <c:v>300</c:v>
                </c:pt>
                <c:pt idx="630">
                  <c:v>300</c:v>
                </c:pt>
                <c:pt idx="631">
                  <c:v>300</c:v>
                </c:pt>
                <c:pt idx="632">
                  <c:v>300</c:v>
                </c:pt>
                <c:pt idx="633">
                  <c:v>300</c:v>
                </c:pt>
                <c:pt idx="634">
                  <c:v>300</c:v>
                </c:pt>
                <c:pt idx="635">
                  <c:v>300</c:v>
                </c:pt>
                <c:pt idx="636">
                  <c:v>300</c:v>
                </c:pt>
                <c:pt idx="637">
                  <c:v>300</c:v>
                </c:pt>
                <c:pt idx="638">
                  <c:v>300</c:v>
                </c:pt>
                <c:pt idx="639">
                  <c:v>300</c:v>
                </c:pt>
                <c:pt idx="640">
                  <c:v>300</c:v>
                </c:pt>
                <c:pt idx="641">
                  <c:v>300</c:v>
                </c:pt>
                <c:pt idx="642">
                  <c:v>300</c:v>
                </c:pt>
                <c:pt idx="643">
                  <c:v>300</c:v>
                </c:pt>
                <c:pt idx="644">
                  <c:v>300</c:v>
                </c:pt>
                <c:pt idx="645">
                  <c:v>300</c:v>
                </c:pt>
                <c:pt idx="646">
                  <c:v>300</c:v>
                </c:pt>
                <c:pt idx="647">
                  <c:v>300</c:v>
                </c:pt>
                <c:pt idx="648">
                  <c:v>300</c:v>
                </c:pt>
                <c:pt idx="649">
                  <c:v>300</c:v>
                </c:pt>
                <c:pt idx="650">
                  <c:v>300</c:v>
                </c:pt>
                <c:pt idx="651">
                  <c:v>300</c:v>
                </c:pt>
                <c:pt idx="652">
                  <c:v>300</c:v>
                </c:pt>
                <c:pt idx="653">
                  <c:v>300</c:v>
                </c:pt>
                <c:pt idx="654">
                  <c:v>300</c:v>
                </c:pt>
                <c:pt idx="655">
                  <c:v>300</c:v>
                </c:pt>
                <c:pt idx="656">
                  <c:v>300</c:v>
                </c:pt>
                <c:pt idx="657">
                  <c:v>300</c:v>
                </c:pt>
                <c:pt idx="658">
                  <c:v>300</c:v>
                </c:pt>
                <c:pt idx="659">
                  <c:v>300</c:v>
                </c:pt>
                <c:pt idx="660">
                  <c:v>300</c:v>
                </c:pt>
                <c:pt idx="661">
                  <c:v>300</c:v>
                </c:pt>
                <c:pt idx="662">
                  <c:v>300</c:v>
                </c:pt>
                <c:pt idx="663">
                  <c:v>300</c:v>
                </c:pt>
                <c:pt idx="664">
                  <c:v>300</c:v>
                </c:pt>
                <c:pt idx="665">
                  <c:v>300</c:v>
                </c:pt>
                <c:pt idx="666">
                  <c:v>300</c:v>
                </c:pt>
                <c:pt idx="667">
                  <c:v>300</c:v>
                </c:pt>
                <c:pt idx="668">
                  <c:v>300</c:v>
                </c:pt>
                <c:pt idx="669">
                  <c:v>300</c:v>
                </c:pt>
                <c:pt idx="670">
                  <c:v>300</c:v>
                </c:pt>
                <c:pt idx="671">
                  <c:v>300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Data!$K$122:$K$793</c:f>
              <c:numCache>
                <c:formatCode>General</c:formatCode>
                <c:ptCount val="67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3">
                  <c:v>140</c:v>
                </c:pt>
                <c:pt idx="54">
                  <c:v>140</c:v>
                </c:pt>
                <c:pt idx="55">
                  <c:v>140</c:v>
                </c:pt>
                <c:pt idx="56">
                  <c:v>140</c:v>
                </c:pt>
                <c:pt idx="57">
                  <c:v>140</c:v>
                </c:pt>
                <c:pt idx="58">
                  <c:v>140</c:v>
                </c:pt>
                <c:pt idx="59">
                  <c:v>140</c:v>
                </c:pt>
                <c:pt idx="60">
                  <c:v>140</c:v>
                </c:pt>
                <c:pt idx="61">
                  <c:v>140</c:v>
                </c:pt>
                <c:pt idx="62">
                  <c:v>140</c:v>
                </c:pt>
                <c:pt idx="63">
                  <c:v>140</c:v>
                </c:pt>
                <c:pt idx="64">
                  <c:v>140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140</c:v>
                </c:pt>
                <c:pt idx="69">
                  <c:v>140</c:v>
                </c:pt>
                <c:pt idx="70">
                  <c:v>140</c:v>
                </c:pt>
                <c:pt idx="71">
                  <c:v>140</c:v>
                </c:pt>
                <c:pt idx="72">
                  <c:v>140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  <c:pt idx="76">
                  <c:v>140</c:v>
                </c:pt>
                <c:pt idx="77">
                  <c:v>140</c:v>
                </c:pt>
                <c:pt idx="78">
                  <c:v>140</c:v>
                </c:pt>
                <c:pt idx="79">
                  <c:v>140</c:v>
                </c:pt>
                <c:pt idx="80">
                  <c:v>140</c:v>
                </c:pt>
                <c:pt idx="81">
                  <c:v>140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140</c:v>
                </c:pt>
                <c:pt idx="86">
                  <c:v>140</c:v>
                </c:pt>
                <c:pt idx="87">
                  <c:v>140</c:v>
                </c:pt>
                <c:pt idx="88">
                  <c:v>140</c:v>
                </c:pt>
                <c:pt idx="89">
                  <c:v>140</c:v>
                </c:pt>
                <c:pt idx="90">
                  <c:v>140</c:v>
                </c:pt>
                <c:pt idx="91">
                  <c:v>140</c:v>
                </c:pt>
                <c:pt idx="92">
                  <c:v>140</c:v>
                </c:pt>
                <c:pt idx="93">
                  <c:v>140</c:v>
                </c:pt>
                <c:pt idx="94">
                  <c:v>140</c:v>
                </c:pt>
                <c:pt idx="95">
                  <c:v>140</c:v>
                </c:pt>
                <c:pt idx="96">
                  <c:v>140</c:v>
                </c:pt>
                <c:pt idx="97">
                  <c:v>140</c:v>
                </c:pt>
                <c:pt idx="98">
                  <c:v>140</c:v>
                </c:pt>
                <c:pt idx="99">
                  <c:v>140</c:v>
                </c:pt>
                <c:pt idx="100">
                  <c:v>140</c:v>
                </c:pt>
                <c:pt idx="101">
                  <c:v>140</c:v>
                </c:pt>
                <c:pt idx="102">
                  <c:v>140</c:v>
                </c:pt>
                <c:pt idx="103">
                  <c:v>140</c:v>
                </c:pt>
                <c:pt idx="104">
                  <c:v>140</c:v>
                </c:pt>
                <c:pt idx="105">
                  <c:v>140</c:v>
                </c:pt>
                <c:pt idx="106">
                  <c:v>140</c:v>
                </c:pt>
                <c:pt idx="107">
                  <c:v>140</c:v>
                </c:pt>
                <c:pt idx="108">
                  <c:v>140</c:v>
                </c:pt>
                <c:pt idx="109">
                  <c:v>140</c:v>
                </c:pt>
                <c:pt idx="110">
                  <c:v>140</c:v>
                </c:pt>
                <c:pt idx="111">
                  <c:v>140</c:v>
                </c:pt>
                <c:pt idx="112">
                  <c:v>140</c:v>
                </c:pt>
                <c:pt idx="113">
                  <c:v>140</c:v>
                </c:pt>
                <c:pt idx="114">
                  <c:v>140</c:v>
                </c:pt>
                <c:pt idx="115">
                  <c:v>140</c:v>
                </c:pt>
                <c:pt idx="116">
                  <c:v>140</c:v>
                </c:pt>
                <c:pt idx="117">
                  <c:v>140</c:v>
                </c:pt>
                <c:pt idx="118">
                  <c:v>140</c:v>
                </c:pt>
                <c:pt idx="119">
                  <c:v>140</c:v>
                </c:pt>
                <c:pt idx="120">
                  <c:v>140</c:v>
                </c:pt>
                <c:pt idx="121">
                  <c:v>140</c:v>
                </c:pt>
                <c:pt idx="122">
                  <c:v>140</c:v>
                </c:pt>
                <c:pt idx="123">
                  <c:v>140</c:v>
                </c:pt>
                <c:pt idx="124">
                  <c:v>140</c:v>
                </c:pt>
                <c:pt idx="125">
                  <c:v>140</c:v>
                </c:pt>
                <c:pt idx="126">
                  <c:v>140</c:v>
                </c:pt>
                <c:pt idx="127">
                  <c:v>140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140</c:v>
                </c:pt>
                <c:pt idx="133">
                  <c:v>140</c:v>
                </c:pt>
                <c:pt idx="134">
                  <c:v>140</c:v>
                </c:pt>
                <c:pt idx="135">
                  <c:v>140</c:v>
                </c:pt>
                <c:pt idx="136">
                  <c:v>140</c:v>
                </c:pt>
                <c:pt idx="137">
                  <c:v>140</c:v>
                </c:pt>
                <c:pt idx="138">
                  <c:v>140</c:v>
                </c:pt>
                <c:pt idx="139">
                  <c:v>140</c:v>
                </c:pt>
                <c:pt idx="140">
                  <c:v>140</c:v>
                </c:pt>
                <c:pt idx="141">
                  <c:v>140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140</c:v>
                </c:pt>
                <c:pt idx="146">
                  <c:v>140</c:v>
                </c:pt>
                <c:pt idx="147">
                  <c:v>140</c:v>
                </c:pt>
                <c:pt idx="148">
                  <c:v>140</c:v>
                </c:pt>
                <c:pt idx="149">
                  <c:v>140</c:v>
                </c:pt>
                <c:pt idx="150">
                  <c:v>140</c:v>
                </c:pt>
                <c:pt idx="151">
                  <c:v>140</c:v>
                </c:pt>
                <c:pt idx="152">
                  <c:v>140</c:v>
                </c:pt>
                <c:pt idx="153">
                  <c:v>140</c:v>
                </c:pt>
                <c:pt idx="154">
                  <c:v>140</c:v>
                </c:pt>
                <c:pt idx="155">
                  <c:v>140</c:v>
                </c:pt>
                <c:pt idx="156">
                  <c:v>140</c:v>
                </c:pt>
                <c:pt idx="157">
                  <c:v>140</c:v>
                </c:pt>
                <c:pt idx="158">
                  <c:v>140</c:v>
                </c:pt>
                <c:pt idx="159">
                  <c:v>140</c:v>
                </c:pt>
                <c:pt idx="160">
                  <c:v>140</c:v>
                </c:pt>
                <c:pt idx="161">
                  <c:v>140</c:v>
                </c:pt>
                <c:pt idx="162">
                  <c:v>140</c:v>
                </c:pt>
                <c:pt idx="163">
                  <c:v>140</c:v>
                </c:pt>
                <c:pt idx="164">
                  <c:v>140</c:v>
                </c:pt>
                <c:pt idx="165">
                  <c:v>140</c:v>
                </c:pt>
                <c:pt idx="166">
                  <c:v>140</c:v>
                </c:pt>
                <c:pt idx="167">
                  <c:v>140</c:v>
                </c:pt>
                <c:pt idx="168">
                  <c:v>140</c:v>
                </c:pt>
                <c:pt idx="169">
                  <c:v>140</c:v>
                </c:pt>
                <c:pt idx="170">
                  <c:v>140</c:v>
                </c:pt>
                <c:pt idx="171">
                  <c:v>140</c:v>
                </c:pt>
                <c:pt idx="172">
                  <c:v>140</c:v>
                </c:pt>
                <c:pt idx="173">
                  <c:v>140</c:v>
                </c:pt>
                <c:pt idx="174">
                  <c:v>140</c:v>
                </c:pt>
                <c:pt idx="175">
                  <c:v>140</c:v>
                </c:pt>
                <c:pt idx="176">
                  <c:v>140</c:v>
                </c:pt>
                <c:pt idx="177">
                  <c:v>140</c:v>
                </c:pt>
                <c:pt idx="178">
                  <c:v>140</c:v>
                </c:pt>
                <c:pt idx="179">
                  <c:v>140</c:v>
                </c:pt>
                <c:pt idx="180">
                  <c:v>140</c:v>
                </c:pt>
                <c:pt idx="181">
                  <c:v>140</c:v>
                </c:pt>
                <c:pt idx="182">
                  <c:v>140</c:v>
                </c:pt>
                <c:pt idx="183">
                  <c:v>140</c:v>
                </c:pt>
                <c:pt idx="184">
                  <c:v>140</c:v>
                </c:pt>
                <c:pt idx="185">
                  <c:v>140</c:v>
                </c:pt>
                <c:pt idx="186">
                  <c:v>140</c:v>
                </c:pt>
                <c:pt idx="187">
                  <c:v>140</c:v>
                </c:pt>
                <c:pt idx="188">
                  <c:v>140</c:v>
                </c:pt>
                <c:pt idx="189">
                  <c:v>140</c:v>
                </c:pt>
                <c:pt idx="190">
                  <c:v>140</c:v>
                </c:pt>
                <c:pt idx="191">
                  <c:v>140</c:v>
                </c:pt>
                <c:pt idx="192">
                  <c:v>140</c:v>
                </c:pt>
                <c:pt idx="193">
                  <c:v>140</c:v>
                </c:pt>
                <c:pt idx="194">
                  <c:v>140</c:v>
                </c:pt>
                <c:pt idx="195">
                  <c:v>140</c:v>
                </c:pt>
                <c:pt idx="196">
                  <c:v>140</c:v>
                </c:pt>
                <c:pt idx="197">
                  <c:v>140</c:v>
                </c:pt>
                <c:pt idx="198">
                  <c:v>140</c:v>
                </c:pt>
                <c:pt idx="199">
                  <c:v>140</c:v>
                </c:pt>
                <c:pt idx="200">
                  <c:v>140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140</c:v>
                </c:pt>
                <c:pt idx="208">
                  <c:v>140</c:v>
                </c:pt>
                <c:pt idx="209">
                  <c:v>140</c:v>
                </c:pt>
                <c:pt idx="210">
                  <c:v>140</c:v>
                </c:pt>
                <c:pt idx="211">
                  <c:v>140</c:v>
                </c:pt>
                <c:pt idx="212">
                  <c:v>140</c:v>
                </c:pt>
                <c:pt idx="213">
                  <c:v>140</c:v>
                </c:pt>
                <c:pt idx="214">
                  <c:v>140</c:v>
                </c:pt>
                <c:pt idx="215">
                  <c:v>140</c:v>
                </c:pt>
                <c:pt idx="216">
                  <c:v>140</c:v>
                </c:pt>
                <c:pt idx="217">
                  <c:v>140</c:v>
                </c:pt>
                <c:pt idx="218">
                  <c:v>140</c:v>
                </c:pt>
                <c:pt idx="219">
                  <c:v>140</c:v>
                </c:pt>
                <c:pt idx="220">
                  <c:v>140</c:v>
                </c:pt>
                <c:pt idx="221">
                  <c:v>140</c:v>
                </c:pt>
                <c:pt idx="222">
                  <c:v>140</c:v>
                </c:pt>
                <c:pt idx="223">
                  <c:v>140</c:v>
                </c:pt>
                <c:pt idx="224">
                  <c:v>140</c:v>
                </c:pt>
                <c:pt idx="225">
                  <c:v>140</c:v>
                </c:pt>
                <c:pt idx="226">
                  <c:v>140</c:v>
                </c:pt>
                <c:pt idx="227">
                  <c:v>140</c:v>
                </c:pt>
                <c:pt idx="228">
                  <c:v>140</c:v>
                </c:pt>
                <c:pt idx="229">
                  <c:v>140</c:v>
                </c:pt>
                <c:pt idx="230">
                  <c:v>140</c:v>
                </c:pt>
                <c:pt idx="231">
                  <c:v>140</c:v>
                </c:pt>
                <c:pt idx="232">
                  <c:v>140</c:v>
                </c:pt>
                <c:pt idx="233">
                  <c:v>140</c:v>
                </c:pt>
                <c:pt idx="234">
                  <c:v>140</c:v>
                </c:pt>
                <c:pt idx="235">
                  <c:v>140</c:v>
                </c:pt>
                <c:pt idx="236">
                  <c:v>140</c:v>
                </c:pt>
                <c:pt idx="237">
                  <c:v>140</c:v>
                </c:pt>
                <c:pt idx="238">
                  <c:v>140</c:v>
                </c:pt>
                <c:pt idx="239">
                  <c:v>140</c:v>
                </c:pt>
                <c:pt idx="240">
                  <c:v>140</c:v>
                </c:pt>
                <c:pt idx="241">
                  <c:v>140</c:v>
                </c:pt>
                <c:pt idx="242">
                  <c:v>140</c:v>
                </c:pt>
                <c:pt idx="243">
                  <c:v>140</c:v>
                </c:pt>
                <c:pt idx="244">
                  <c:v>140</c:v>
                </c:pt>
                <c:pt idx="245">
                  <c:v>140</c:v>
                </c:pt>
                <c:pt idx="246">
                  <c:v>140</c:v>
                </c:pt>
                <c:pt idx="247">
                  <c:v>140</c:v>
                </c:pt>
                <c:pt idx="248">
                  <c:v>140</c:v>
                </c:pt>
                <c:pt idx="249">
                  <c:v>140</c:v>
                </c:pt>
                <c:pt idx="250">
                  <c:v>140</c:v>
                </c:pt>
                <c:pt idx="251">
                  <c:v>140</c:v>
                </c:pt>
                <c:pt idx="252">
                  <c:v>140</c:v>
                </c:pt>
                <c:pt idx="253">
                  <c:v>140</c:v>
                </c:pt>
                <c:pt idx="254">
                  <c:v>140</c:v>
                </c:pt>
                <c:pt idx="255">
                  <c:v>140</c:v>
                </c:pt>
                <c:pt idx="256">
                  <c:v>140</c:v>
                </c:pt>
                <c:pt idx="257">
                  <c:v>140</c:v>
                </c:pt>
                <c:pt idx="258">
                  <c:v>140</c:v>
                </c:pt>
                <c:pt idx="259">
                  <c:v>140</c:v>
                </c:pt>
                <c:pt idx="260">
                  <c:v>140</c:v>
                </c:pt>
                <c:pt idx="261">
                  <c:v>140</c:v>
                </c:pt>
                <c:pt idx="262">
                  <c:v>140</c:v>
                </c:pt>
                <c:pt idx="263">
                  <c:v>140</c:v>
                </c:pt>
                <c:pt idx="264">
                  <c:v>140</c:v>
                </c:pt>
                <c:pt idx="265">
                  <c:v>140</c:v>
                </c:pt>
                <c:pt idx="266">
                  <c:v>140</c:v>
                </c:pt>
                <c:pt idx="267">
                  <c:v>140</c:v>
                </c:pt>
                <c:pt idx="268">
                  <c:v>140</c:v>
                </c:pt>
                <c:pt idx="269">
                  <c:v>140</c:v>
                </c:pt>
                <c:pt idx="270">
                  <c:v>140</c:v>
                </c:pt>
                <c:pt idx="271">
                  <c:v>140</c:v>
                </c:pt>
                <c:pt idx="272">
                  <c:v>140</c:v>
                </c:pt>
                <c:pt idx="273">
                  <c:v>140</c:v>
                </c:pt>
                <c:pt idx="274">
                  <c:v>140</c:v>
                </c:pt>
                <c:pt idx="275">
                  <c:v>140</c:v>
                </c:pt>
                <c:pt idx="276">
                  <c:v>140</c:v>
                </c:pt>
                <c:pt idx="277">
                  <c:v>140</c:v>
                </c:pt>
                <c:pt idx="278">
                  <c:v>140</c:v>
                </c:pt>
                <c:pt idx="279">
                  <c:v>140</c:v>
                </c:pt>
                <c:pt idx="280">
                  <c:v>140</c:v>
                </c:pt>
                <c:pt idx="281">
                  <c:v>140</c:v>
                </c:pt>
                <c:pt idx="282">
                  <c:v>140</c:v>
                </c:pt>
                <c:pt idx="283">
                  <c:v>140</c:v>
                </c:pt>
                <c:pt idx="284">
                  <c:v>140</c:v>
                </c:pt>
                <c:pt idx="285">
                  <c:v>140</c:v>
                </c:pt>
                <c:pt idx="286">
                  <c:v>140</c:v>
                </c:pt>
                <c:pt idx="287">
                  <c:v>140</c:v>
                </c:pt>
                <c:pt idx="288">
                  <c:v>140</c:v>
                </c:pt>
                <c:pt idx="289">
                  <c:v>140</c:v>
                </c:pt>
                <c:pt idx="290">
                  <c:v>140</c:v>
                </c:pt>
                <c:pt idx="291">
                  <c:v>140</c:v>
                </c:pt>
                <c:pt idx="292">
                  <c:v>140</c:v>
                </c:pt>
                <c:pt idx="293">
                  <c:v>140</c:v>
                </c:pt>
                <c:pt idx="294">
                  <c:v>140</c:v>
                </c:pt>
                <c:pt idx="295">
                  <c:v>140</c:v>
                </c:pt>
                <c:pt idx="296">
                  <c:v>140</c:v>
                </c:pt>
                <c:pt idx="297">
                  <c:v>140</c:v>
                </c:pt>
                <c:pt idx="298">
                  <c:v>140</c:v>
                </c:pt>
                <c:pt idx="299">
                  <c:v>140</c:v>
                </c:pt>
                <c:pt idx="300">
                  <c:v>140</c:v>
                </c:pt>
                <c:pt idx="301">
                  <c:v>140</c:v>
                </c:pt>
                <c:pt idx="302">
                  <c:v>140</c:v>
                </c:pt>
                <c:pt idx="303">
                  <c:v>140</c:v>
                </c:pt>
                <c:pt idx="304">
                  <c:v>140</c:v>
                </c:pt>
                <c:pt idx="305">
                  <c:v>140</c:v>
                </c:pt>
                <c:pt idx="306">
                  <c:v>140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140</c:v>
                </c:pt>
                <c:pt idx="314">
                  <c:v>140</c:v>
                </c:pt>
                <c:pt idx="315">
                  <c:v>140</c:v>
                </c:pt>
                <c:pt idx="316">
                  <c:v>140</c:v>
                </c:pt>
                <c:pt idx="317">
                  <c:v>140</c:v>
                </c:pt>
                <c:pt idx="318">
                  <c:v>140</c:v>
                </c:pt>
                <c:pt idx="319">
                  <c:v>140</c:v>
                </c:pt>
                <c:pt idx="320">
                  <c:v>140</c:v>
                </c:pt>
                <c:pt idx="321">
                  <c:v>140</c:v>
                </c:pt>
                <c:pt idx="322">
                  <c:v>140</c:v>
                </c:pt>
                <c:pt idx="323">
                  <c:v>140</c:v>
                </c:pt>
                <c:pt idx="324">
                  <c:v>140</c:v>
                </c:pt>
                <c:pt idx="325">
                  <c:v>140</c:v>
                </c:pt>
                <c:pt idx="326">
                  <c:v>140</c:v>
                </c:pt>
                <c:pt idx="327">
                  <c:v>140</c:v>
                </c:pt>
                <c:pt idx="328">
                  <c:v>140</c:v>
                </c:pt>
                <c:pt idx="329">
                  <c:v>140</c:v>
                </c:pt>
                <c:pt idx="330">
                  <c:v>140</c:v>
                </c:pt>
                <c:pt idx="331">
                  <c:v>140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140</c:v>
                </c:pt>
                <c:pt idx="338">
                  <c:v>140</c:v>
                </c:pt>
                <c:pt idx="339">
                  <c:v>140</c:v>
                </c:pt>
                <c:pt idx="340">
                  <c:v>140</c:v>
                </c:pt>
                <c:pt idx="341">
                  <c:v>140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140</c:v>
                </c:pt>
                <c:pt idx="346">
                  <c:v>140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140</c:v>
                </c:pt>
                <c:pt idx="353">
                  <c:v>140</c:v>
                </c:pt>
                <c:pt idx="354">
                  <c:v>140</c:v>
                </c:pt>
                <c:pt idx="355">
                  <c:v>140</c:v>
                </c:pt>
                <c:pt idx="356">
                  <c:v>140</c:v>
                </c:pt>
                <c:pt idx="357">
                  <c:v>140</c:v>
                </c:pt>
                <c:pt idx="358">
                  <c:v>140</c:v>
                </c:pt>
                <c:pt idx="359">
                  <c:v>140</c:v>
                </c:pt>
                <c:pt idx="360">
                  <c:v>140</c:v>
                </c:pt>
                <c:pt idx="361">
                  <c:v>140</c:v>
                </c:pt>
                <c:pt idx="362">
                  <c:v>140</c:v>
                </c:pt>
                <c:pt idx="363">
                  <c:v>140</c:v>
                </c:pt>
                <c:pt idx="364">
                  <c:v>140</c:v>
                </c:pt>
                <c:pt idx="365">
                  <c:v>140</c:v>
                </c:pt>
                <c:pt idx="366">
                  <c:v>140</c:v>
                </c:pt>
                <c:pt idx="367">
                  <c:v>140</c:v>
                </c:pt>
                <c:pt idx="368">
                  <c:v>140</c:v>
                </c:pt>
                <c:pt idx="369">
                  <c:v>140</c:v>
                </c:pt>
                <c:pt idx="370">
                  <c:v>140</c:v>
                </c:pt>
                <c:pt idx="371">
                  <c:v>140</c:v>
                </c:pt>
                <c:pt idx="372">
                  <c:v>140</c:v>
                </c:pt>
                <c:pt idx="373">
                  <c:v>140</c:v>
                </c:pt>
                <c:pt idx="374">
                  <c:v>140</c:v>
                </c:pt>
                <c:pt idx="375">
                  <c:v>140</c:v>
                </c:pt>
                <c:pt idx="376">
                  <c:v>140</c:v>
                </c:pt>
                <c:pt idx="377">
                  <c:v>140</c:v>
                </c:pt>
                <c:pt idx="378">
                  <c:v>140</c:v>
                </c:pt>
                <c:pt idx="379">
                  <c:v>140</c:v>
                </c:pt>
                <c:pt idx="380">
                  <c:v>140</c:v>
                </c:pt>
                <c:pt idx="381">
                  <c:v>140</c:v>
                </c:pt>
                <c:pt idx="382">
                  <c:v>140</c:v>
                </c:pt>
                <c:pt idx="383">
                  <c:v>140</c:v>
                </c:pt>
                <c:pt idx="384">
                  <c:v>140</c:v>
                </c:pt>
                <c:pt idx="385">
                  <c:v>140</c:v>
                </c:pt>
                <c:pt idx="386">
                  <c:v>140</c:v>
                </c:pt>
                <c:pt idx="387">
                  <c:v>140</c:v>
                </c:pt>
                <c:pt idx="388">
                  <c:v>140</c:v>
                </c:pt>
                <c:pt idx="389">
                  <c:v>140</c:v>
                </c:pt>
                <c:pt idx="390">
                  <c:v>140</c:v>
                </c:pt>
                <c:pt idx="391">
                  <c:v>140</c:v>
                </c:pt>
                <c:pt idx="392">
                  <c:v>140</c:v>
                </c:pt>
                <c:pt idx="393">
                  <c:v>140</c:v>
                </c:pt>
                <c:pt idx="394">
                  <c:v>140</c:v>
                </c:pt>
                <c:pt idx="395">
                  <c:v>140</c:v>
                </c:pt>
                <c:pt idx="396">
                  <c:v>140</c:v>
                </c:pt>
                <c:pt idx="397">
                  <c:v>140</c:v>
                </c:pt>
                <c:pt idx="398">
                  <c:v>140</c:v>
                </c:pt>
                <c:pt idx="399">
                  <c:v>140</c:v>
                </c:pt>
                <c:pt idx="400">
                  <c:v>140</c:v>
                </c:pt>
                <c:pt idx="401">
                  <c:v>140</c:v>
                </c:pt>
                <c:pt idx="402">
                  <c:v>140</c:v>
                </c:pt>
                <c:pt idx="403">
                  <c:v>140</c:v>
                </c:pt>
                <c:pt idx="404">
                  <c:v>140</c:v>
                </c:pt>
                <c:pt idx="405">
                  <c:v>140</c:v>
                </c:pt>
                <c:pt idx="406">
                  <c:v>140</c:v>
                </c:pt>
                <c:pt idx="407">
                  <c:v>140</c:v>
                </c:pt>
                <c:pt idx="408">
                  <c:v>140</c:v>
                </c:pt>
                <c:pt idx="409">
                  <c:v>140</c:v>
                </c:pt>
                <c:pt idx="410">
                  <c:v>140</c:v>
                </c:pt>
                <c:pt idx="411">
                  <c:v>140</c:v>
                </c:pt>
                <c:pt idx="412">
                  <c:v>140</c:v>
                </c:pt>
                <c:pt idx="413">
                  <c:v>140</c:v>
                </c:pt>
                <c:pt idx="414">
                  <c:v>140</c:v>
                </c:pt>
                <c:pt idx="415">
                  <c:v>140</c:v>
                </c:pt>
                <c:pt idx="416">
                  <c:v>140</c:v>
                </c:pt>
                <c:pt idx="417">
                  <c:v>140</c:v>
                </c:pt>
                <c:pt idx="418">
                  <c:v>140</c:v>
                </c:pt>
                <c:pt idx="419">
                  <c:v>140</c:v>
                </c:pt>
                <c:pt idx="420">
                  <c:v>140</c:v>
                </c:pt>
                <c:pt idx="421">
                  <c:v>140</c:v>
                </c:pt>
                <c:pt idx="422">
                  <c:v>140</c:v>
                </c:pt>
                <c:pt idx="423">
                  <c:v>140</c:v>
                </c:pt>
                <c:pt idx="424">
                  <c:v>140</c:v>
                </c:pt>
                <c:pt idx="425">
                  <c:v>140</c:v>
                </c:pt>
                <c:pt idx="426">
                  <c:v>140</c:v>
                </c:pt>
                <c:pt idx="427">
                  <c:v>140</c:v>
                </c:pt>
                <c:pt idx="428">
                  <c:v>140</c:v>
                </c:pt>
                <c:pt idx="429">
                  <c:v>140</c:v>
                </c:pt>
                <c:pt idx="430">
                  <c:v>140</c:v>
                </c:pt>
                <c:pt idx="431">
                  <c:v>140</c:v>
                </c:pt>
                <c:pt idx="432">
                  <c:v>140</c:v>
                </c:pt>
                <c:pt idx="433">
                  <c:v>140</c:v>
                </c:pt>
                <c:pt idx="434">
                  <c:v>140</c:v>
                </c:pt>
                <c:pt idx="435">
                  <c:v>140</c:v>
                </c:pt>
                <c:pt idx="436">
                  <c:v>140</c:v>
                </c:pt>
                <c:pt idx="437">
                  <c:v>140</c:v>
                </c:pt>
                <c:pt idx="438">
                  <c:v>140</c:v>
                </c:pt>
                <c:pt idx="439">
                  <c:v>140</c:v>
                </c:pt>
                <c:pt idx="440">
                  <c:v>140</c:v>
                </c:pt>
                <c:pt idx="441">
                  <c:v>140</c:v>
                </c:pt>
                <c:pt idx="442">
                  <c:v>140</c:v>
                </c:pt>
                <c:pt idx="443">
                  <c:v>140</c:v>
                </c:pt>
                <c:pt idx="444">
                  <c:v>140</c:v>
                </c:pt>
                <c:pt idx="445">
                  <c:v>140</c:v>
                </c:pt>
                <c:pt idx="446">
                  <c:v>140</c:v>
                </c:pt>
                <c:pt idx="447">
                  <c:v>140</c:v>
                </c:pt>
                <c:pt idx="448">
                  <c:v>140</c:v>
                </c:pt>
                <c:pt idx="449">
                  <c:v>140</c:v>
                </c:pt>
                <c:pt idx="450">
                  <c:v>140</c:v>
                </c:pt>
                <c:pt idx="451">
                  <c:v>140</c:v>
                </c:pt>
                <c:pt idx="452">
                  <c:v>140</c:v>
                </c:pt>
                <c:pt idx="453">
                  <c:v>140</c:v>
                </c:pt>
                <c:pt idx="454">
                  <c:v>140</c:v>
                </c:pt>
                <c:pt idx="455">
                  <c:v>140</c:v>
                </c:pt>
                <c:pt idx="456">
                  <c:v>140</c:v>
                </c:pt>
                <c:pt idx="457">
                  <c:v>140</c:v>
                </c:pt>
                <c:pt idx="458">
                  <c:v>140</c:v>
                </c:pt>
                <c:pt idx="459">
                  <c:v>140</c:v>
                </c:pt>
                <c:pt idx="460">
                  <c:v>140</c:v>
                </c:pt>
                <c:pt idx="461">
                  <c:v>140</c:v>
                </c:pt>
                <c:pt idx="462">
                  <c:v>140</c:v>
                </c:pt>
                <c:pt idx="463">
                  <c:v>140</c:v>
                </c:pt>
                <c:pt idx="464">
                  <c:v>140</c:v>
                </c:pt>
                <c:pt idx="465">
                  <c:v>140</c:v>
                </c:pt>
                <c:pt idx="466">
                  <c:v>140</c:v>
                </c:pt>
                <c:pt idx="467">
                  <c:v>140</c:v>
                </c:pt>
                <c:pt idx="468">
                  <c:v>140</c:v>
                </c:pt>
                <c:pt idx="469">
                  <c:v>140</c:v>
                </c:pt>
                <c:pt idx="470">
                  <c:v>140</c:v>
                </c:pt>
                <c:pt idx="471">
                  <c:v>140</c:v>
                </c:pt>
                <c:pt idx="472">
                  <c:v>140</c:v>
                </c:pt>
                <c:pt idx="473">
                  <c:v>140</c:v>
                </c:pt>
                <c:pt idx="474">
                  <c:v>140</c:v>
                </c:pt>
                <c:pt idx="475">
                  <c:v>140</c:v>
                </c:pt>
                <c:pt idx="476">
                  <c:v>140</c:v>
                </c:pt>
                <c:pt idx="477">
                  <c:v>140</c:v>
                </c:pt>
                <c:pt idx="478">
                  <c:v>140</c:v>
                </c:pt>
                <c:pt idx="479">
                  <c:v>140</c:v>
                </c:pt>
                <c:pt idx="480">
                  <c:v>140</c:v>
                </c:pt>
                <c:pt idx="481">
                  <c:v>140</c:v>
                </c:pt>
                <c:pt idx="482">
                  <c:v>140</c:v>
                </c:pt>
                <c:pt idx="483">
                  <c:v>140</c:v>
                </c:pt>
                <c:pt idx="484">
                  <c:v>140</c:v>
                </c:pt>
                <c:pt idx="485">
                  <c:v>140</c:v>
                </c:pt>
                <c:pt idx="486">
                  <c:v>140</c:v>
                </c:pt>
                <c:pt idx="487">
                  <c:v>140</c:v>
                </c:pt>
                <c:pt idx="488">
                  <c:v>140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140</c:v>
                </c:pt>
                <c:pt idx="494">
                  <c:v>140</c:v>
                </c:pt>
                <c:pt idx="495">
                  <c:v>140</c:v>
                </c:pt>
                <c:pt idx="496">
                  <c:v>140</c:v>
                </c:pt>
                <c:pt idx="497">
                  <c:v>140</c:v>
                </c:pt>
                <c:pt idx="498">
                  <c:v>140</c:v>
                </c:pt>
                <c:pt idx="499">
                  <c:v>140</c:v>
                </c:pt>
                <c:pt idx="500">
                  <c:v>140</c:v>
                </c:pt>
                <c:pt idx="501">
                  <c:v>140</c:v>
                </c:pt>
                <c:pt idx="502">
                  <c:v>140</c:v>
                </c:pt>
                <c:pt idx="503">
                  <c:v>140</c:v>
                </c:pt>
                <c:pt idx="504">
                  <c:v>140</c:v>
                </c:pt>
                <c:pt idx="505">
                  <c:v>140</c:v>
                </c:pt>
                <c:pt idx="506">
                  <c:v>140</c:v>
                </c:pt>
                <c:pt idx="507">
                  <c:v>140</c:v>
                </c:pt>
                <c:pt idx="508">
                  <c:v>140</c:v>
                </c:pt>
                <c:pt idx="509">
                  <c:v>140</c:v>
                </c:pt>
                <c:pt idx="510">
                  <c:v>140</c:v>
                </c:pt>
                <c:pt idx="511">
                  <c:v>140</c:v>
                </c:pt>
                <c:pt idx="512">
                  <c:v>140</c:v>
                </c:pt>
                <c:pt idx="513">
                  <c:v>140</c:v>
                </c:pt>
                <c:pt idx="514">
                  <c:v>140</c:v>
                </c:pt>
                <c:pt idx="515">
                  <c:v>140</c:v>
                </c:pt>
                <c:pt idx="516">
                  <c:v>140</c:v>
                </c:pt>
                <c:pt idx="517">
                  <c:v>140</c:v>
                </c:pt>
                <c:pt idx="518">
                  <c:v>140</c:v>
                </c:pt>
                <c:pt idx="519">
                  <c:v>140</c:v>
                </c:pt>
                <c:pt idx="520">
                  <c:v>140</c:v>
                </c:pt>
                <c:pt idx="521">
                  <c:v>140</c:v>
                </c:pt>
                <c:pt idx="522">
                  <c:v>140</c:v>
                </c:pt>
                <c:pt idx="523">
                  <c:v>140</c:v>
                </c:pt>
                <c:pt idx="524">
                  <c:v>140</c:v>
                </c:pt>
                <c:pt idx="525">
                  <c:v>140</c:v>
                </c:pt>
                <c:pt idx="526">
                  <c:v>140</c:v>
                </c:pt>
                <c:pt idx="527">
                  <c:v>140</c:v>
                </c:pt>
                <c:pt idx="528">
                  <c:v>140</c:v>
                </c:pt>
                <c:pt idx="529">
                  <c:v>140</c:v>
                </c:pt>
                <c:pt idx="530">
                  <c:v>140</c:v>
                </c:pt>
                <c:pt idx="531">
                  <c:v>140</c:v>
                </c:pt>
                <c:pt idx="532">
                  <c:v>140</c:v>
                </c:pt>
                <c:pt idx="533">
                  <c:v>140</c:v>
                </c:pt>
                <c:pt idx="534">
                  <c:v>140</c:v>
                </c:pt>
                <c:pt idx="535">
                  <c:v>140</c:v>
                </c:pt>
                <c:pt idx="536">
                  <c:v>140</c:v>
                </c:pt>
                <c:pt idx="537">
                  <c:v>140</c:v>
                </c:pt>
                <c:pt idx="538">
                  <c:v>140</c:v>
                </c:pt>
                <c:pt idx="539">
                  <c:v>140</c:v>
                </c:pt>
                <c:pt idx="540">
                  <c:v>140</c:v>
                </c:pt>
                <c:pt idx="541">
                  <c:v>140</c:v>
                </c:pt>
                <c:pt idx="542">
                  <c:v>140</c:v>
                </c:pt>
                <c:pt idx="543">
                  <c:v>140</c:v>
                </c:pt>
                <c:pt idx="544">
                  <c:v>140</c:v>
                </c:pt>
                <c:pt idx="545">
                  <c:v>140</c:v>
                </c:pt>
                <c:pt idx="546">
                  <c:v>140</c:v>
                </c:pt>
                <c:pt idx="547">
                  <c:v>140</c:v>
                </c:pt>
                <c:pt idx="548">
                  <c:v>140</c:v>
                </c:pt>
                <c:pt idx="549">
                  <c:v>140</c:v>
                </c:pt>
                <c:pt idx="550">
                  <c:v>140</c:v>
                </c:pt>
                <c:pt idx="551">
                  <c:v>140</c:v>
                </c:pt>
                <c:pt idx="552">
                  <c:v>140</c:v>
                </c:pt>
                <c:pt idx="553">
                  <c:v>140</c:v>
                </c:pt>
                <c:pt idx="554">
                  <c:v>140</c:v>
                </c:pt>
                <c:pt idx="555">
                  <c:v>140</c:v>
                </c:pt>
                <c:pt idx="556">
                  <c:v>140</c:v>
                </c:pt>
                <c:pt idx="557">
                  <c:v>140</c:v>
                </c:pt>
                <c:pt idx="558">
                  <c:v>140</c:v>
                </c:pt>
                <c:pt idx="559">
                  <c:v>140</c:v>
                </c:pt>
                <c:pt idx="560">
                  <c:v>140</c:v>
                </c:pt>
                <c:pt idx="561">
                  <c:v>140</c:v>
                </c:pt>
                <c:pt idx="562">
                  <c:v>140</c:v>
                </c:pt>
                <c:pt idx="563">
                  <c:v>140</c:v>
                </c:pt>
                <c:pt idx="564">
                  <c:v>140</c:v>
                </c:pt>
                <c:pt idx="565">
                  <c:v>140</c:v>
                </c:pt>
                <c:pt idx="566">
                  <c:v>140</c:v>
                </c:pt>
                <c:pt idx="567">
                  <c:v>140</c:v>
                </c:pt>
                <c:pt idx="568">
                  <c:v>140</c:v>
                </c:pt>
                <c:pt idx="569">
                  <c:v>140</c:v>
                </c:pt>
                <c:pt idx="570">
                  <c:v>140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140</c:v>
                </c:pt>
                <c:pt idx="576">
                  <c:v>140</c:v>
                </c:pt>
                <c:pt idx="577">
                  <c:v>140</c:v>
                </c:pt>
                <c:pt idx="578">
                  <c:v>140</c:v>
                </c:pt>
                <c:pt idx="579">
                  <c:v>140</c:v>
                </c:pt>
                <c:pt idx="580">
                  <c:v>140</c:v>
                </c:pt>
                <c:pt idx="581">
                  <c:v>140</c:v>
                </c:pt>
                <c:pt idx="582">
                  <c:v>140</c:v>
                </c:pt>
                <c:pt idx="583">
                  <c:v>140</c:v>
                </c:pt>
                <c:pt idx="584">
                  <c:v>140</c:v>
                </c:pt>
                <c:pt idx="585">
                  <c:v>140</c:v>
                </c:pt>
                <c:pt idx="586">
                  <c:v>140</c:v>
                </c:pt>
                <c:pt idx="587">
                  <c:v>140</c:v>
                </c:pt>
                <c:pt idx="588">
                  <c:v>140</c:v>
                </c:pt>
                <c:pt idx="589">
                  <c:v>140</c:v>
                </c:pt>
                <c:pt idx="590">
                  <c:v>140</c:v>
                </c:pt>
                <c:pt idx="591">
                  <c:v>140</c:v>
                </c:pt>
                <c:pt idx="592">
                  <c:v>140</c:v>
                </c:pt>
                <c:pt idx="593">
                  <c:v>140</c:v>
                </c:pt>
                <c:pt idx="594">
                  <c:v>140</c:v>
                </c:pt>
                <c:pt idx="595">
                  <c:v>140</c:v>
                </c:pt>
                <c:pt idx="596">
                  <c:v>140</c:v>
                </c:pt>
                <c:pt idx="597">
                  <c:v>140</c:v>
                </c:pt>
                <c:pt idx="598">
                  <c:v>140</c:v>
                </c:pt>
                <c:pt idx="599">
                  <c:v>140</c:v>
                </c:pt>
                <c:pt idx="600">
                  <c:v>140</c:v>
                </c:pt>
                <c:pt idx="601">
                  <c:v>140</c:v>
                </c:pt>
                <c:pt idx="602">
                  <c:v>140</c:v>
                </c:pt>
                <c:pt idx="603">
                  <c:v>140</c:v>
                </c:pt>
                <c:pt idx="604">
                  <c:v>140</c:v>
                </c:pt>
                <c:pt idx="605">
                  <c:v>140</c:v>
                </c:pt>
                <c:pt idx="606">
                  <c:v>140</c:v>
                </c:pt>
                <c:pt idx="607">
                  <c:v>140</c:v>
                </c:pt>
                <c:pt idx="608">
                  <c:v>140</c:v>
                </c:pt>
                <c:pt idx="609">
                  <c:v>140</c:v>
                </c:pt>
                <c:pt idx="610">
                  <c:v>140</c:v>
                </c:pt>
                <c:pt idx="611">
                  <c:v>140</c:v>
                </c:pt>
                <c:pt idx="612">
                  <c:v>140</c:v>
                </c:pt>
                <c:pt idx="613">
                  <c:v>140</c:v>
                </c:pt>
                <c:pt idx="614">
                  <c:v>140</c:v>
                </c:pt>
                <c:pt idx="615">
                  <c:v>140</c:v>
                </c:pt>
                <c:pt idx="616">
                  <c:v>140</c:v>
                </c:pt>
                <c:pt idx="617">
                  <c:v>140</c:v>
                </c:pt>
                <c:pt idx="618">
                  <c:v>140</c:v>
                </c:pt>
                <c:pt idx="619">
                  <c:v>140</c:v>
                </c:pt>
                <c:pt idx="620">
                  <c:v>140</c:v>
                </c:pt>
                <c:pt idx="621">
                  <c:v>140</c:v>
                </c:pt>
                <c:pt idx="622">
                  <c:v>140</c:v>
                </c:pt>
                <c:pt idx="623">
                  <c:v>140</c:v>
                </c:pt>
                <c:pt idx="624">
                  <c:v>140</c:v>
                </c:pt>
                <c:pt idx="625">
                  <c:v>140</c:v>
                </c:pt>
                <c:pt idx="626">
                  <c:v>140</c:v>
                </c:pt>
                <c:pt idx="627">
                  <c:v>140</c:v>
                </c:pt>
                <c:pt idx="628">
                  <c:v>140</c:v>
                </c:pt>
                <c:pt idx="629">
                  <c:v>140</c:v>
                </c:pt>
                <c:pt idx="630">
                  <c:v>140</c:v>
                </c:pt>
                <c:pt idx="631">
                  <c:v>140</c:v>
                </c:pt>
                <c:pt idx="632">
                  <c:v>140</c:v>
                </c:pt>
                <c:pt idx="633">
                  <c:v>140</c:v>
                </c:pt>
                <c:pt idx="634">
                  <c:v>140</c:v>
                </c:pt>
                <c:pt idx="635">
                  <c:v>140</c:v>
                </c:pt>
                <c:pt idx="636">
                  <c:v>140</c:v>
                </c:pt>
                <c:pt idx="637">
                  <c:v>140</c:v>
                </c:pt>
                <c:pt idx="638">
                  <c:v>140</c:v>
                </c:pt>
                <c:pt idx="639">
                  <c:v>140</c:v>
                </c:pt>
                <c:pt idx="640">
                  <c:v>140</c:v>
                </c:pt>
                <c:pt idx="641">
                  <c:v>140</c:v>
                </c:pt>
                <c:pt idx="642">
                  <c:v>140</c:v>
                </c:pt>
                <c:pt idx="643">
                  <c:v>140</c:v>
                </c:pt>
                <c:pt idx="644">
                  <c:v>140</c:v>
                </c:pt>
                <c:pt idx="645">
                  <c:v>140</c:v>
                </c:pt>
                <c:pt idx="646">
                  <c:v>140</c:v>
                </c:pt>
                <c:pt idx="647">
                  <c:v>140</c:v>
                </c:pt>
                <c:pt idx="648">
                  <c:v>140</c:v>
                </c:pt>
                <c:pt idx="649">
                  <c:v>140</c:v>
                </c:pt>
                <c:pt idx="650">
                  <c:v>140</c:v>
                </c:pt>
                <c:pt idx="651">
                  <c:v>140</c:v>
                </c:pt>
                <c:pt idx="652">
                  <c:v>140</c:v>
                </c:pt>
                <c:pt idx="653">
                  <c:v>140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140</c:v>
                </c:pt>
                <c:pt idx="660">
                  <c:v>140</c:v>
                </c:pt>
                <c:pt idx="661">
                  <c:v>140</c:v>
                </c:pt>
                <c:pt idx="662">
                  <c:v>140</c:v>
                </c:pt>
                <c:pt idx="663">
                  <c:v>140</c:v>
                </c:pt>
                <c:pt idx="664">
                  <c:v>140</c:v>
                </c:pt>
                <c:pt idx="665">
                  <c:v>140</c:v>
                </c:pt>
                <c:pt idx="666">
                  <c:v>140</c:v>
                </c:pt>
                <c:pt idx="667">
                  <c:v>140</c:v>
                </c:pt>
                <c:pt idx="668">
                  <c:v>140</c:v>
                </c:pt>
                <c:pt idx="669">
                  <c:v>140</c:v>
                </c:pt>
                <c:pt idx="670">
                  <c:v>140</c:v>
                </c:pt>
                <c:pt idx="671">
                  <c:v>140</c:v>
                </c:pt>
              </c:numCache>
            </c:numRef>
          </c:val>
        </c:ser>
        <c:ser>
          <c:idx val="2"/>
          <c:order val="2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Data!$L$122:$L$793</c:f>
              <c:numCache>
                <c:formatCode>General</c:formatCode>
                <c:ptCount val="672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80</c:v>
                </c:pt>
                <c:pt idx="111">
                  <c:v>80</c:v>
                </c:pt>
                <c:pt idx="112">
                  <c:v>80</c:v>
                </c:pt>
                <c:pt idx="113">
                  <c:v>80</c:v>
                </c:pt>
                <c:pt idx="114">
                  <c:v>80</c:v>
                </c:pt>
                <c:pt idx="115">
                  <c:v>80</c:v>
                </c:pt>
                <c:pt idx="116">
                  <c:v>80</c:v>
                </c:pt>
                <c:pt idx="117">
                  <c:v>80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80</c:v>
                </c:pt>
                <c:pt idx="195">
                  <c:v>80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80</c:v>
                </c:pt>
                <c:pt idx="204">
                  <c:v>80</c:v>
                </c:pt>
                <c:pt idx="205">
                  <c:v>80</c:v>
                </c:pt>
                <c:pt idx="206">
                  <c:v>80</c:v>
                </c:pt>
                <c:pt idx="207">
                  <c:v>80</c:v>
                </c:pt>
                <c:pt idx="208">
                  <c:v>80</c:v>
                </c:pt>
                <c:pt idx="209">
                  <c:v>80</c:v>
                </c:pt>
                <c:pt idx="210">
                  <c:v>80</c:v>
                </c:pt>
                <c:pt idx="211">
                  <c:v>80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80</c:v>
                </c:pt>
                <c:pt idx="221">
                  <c:v>80</c:v>
                </c:pt>
                <c:pt idx="222">
                  <c:v>80</c:v>
                </c:pt>
                <c:pt idx="223">
                  <c:v>80</c:v>
                </c:pt>
                <c:pt idx="224">
                  <c:v>80</c:v>
                </c:pt>
                <c:pt idx="225">
                  <c:v>80</c:v>
                </c:pt>
                <c:pt idx="226">
                  <c:v>80</c:v>
                </c:pt>
                <c:pt idx="227">
                  <c:v>80</c:v>
                </c:pt>
                <c:pt idx="228">
                  <c:v>80</c:v>
                </c:pt>
                <c:pt idx="229">
                  <c:v>80</c:v>
                </c:pt>
                <c:pt idx="230">
                  <c:v>80</c:v>
                </c:pt>
                <c:pt idx="231">
                  <c:v>80</c:v>
                </c:pt>
                <c:pt idx="232">
                  <c:v>80</c:v>
                </c:pt>
                <c:pt idx="233">
                  <c:v>80</c:v>
                </c:pt>
                <c:pt idx="234">
                  <c:v>80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80</c:v>
                </c:pt>
                <c:pt idx="259">
                  <c:v>80</c:v>
                </c:pt>
                <c:pt idx="260">
                  <c:v>80</c:v>
                </c:pt>
                <c:pt idx="261">
                  <c:v>80</c:v>
                </c:pt>
                <c:pt idx="262">
                  <c:v>80</c:v>
                </c:pt>
                <c:pt idx="263">
                  <c:v>80</c:v>
                </c:pt>
                <c:pt idx="264">
                  <c:v>80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80</c:v>
                </c:pt>
                <c:pt idx="278">
                  <c:v>80</c:v>
                </c:pt>
                <c:pt idx="279">
                  <c:v>80</c:v>
                </c:pt>
                <c:pt idx="280">
                  <c:v>80</c:v>
                </c:pt>
                <c:pt idx="281">
                  <c:v>80</c:v>
                </c:pt>
                <c:pt idx="282">
                  <c:v>80</c:v>
                </c:pt>
                <c:pt idx="283">
                  <c:v>80</c:v>
                </c:pt>
                <c:pt idx="284">
                  <c:v>80</c:v>
                </c:pt>
                <c:pt idx="285">
                  <c:v>80</c:v>
                </c:pt>
                <c:pt idx="286">
                  <c:v>80</c:v>
                </c:pt>
                <c:pt idx="287">
                  <c:v>80</c:v>
                </c:pt>
                <c:pt idx="288">
                  <c:v>80</c:v>
                </c:pt>
                <c:pt idx="289">
                  <c:v>80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80</c:v>
                </c:pt>
                <c:pt idx="451">
                  <c:v>80</c:v>
                </c:pt>
                <c:pt idx="452">
                  <c:v>80</c:v>
                </c:pt>
                <c:pt idx="453">
                  <c:v>80</c:v>
                </c:pt>
                <c:pt idx="454">
                  <c:v>80</c:v>
                </c:pt>
                <c:pt idx="455">
                  <c:v>80</c:v>
                </c:pt>
                <c:pt idx="456">
                  <c:v>80</c:v>
                </c:pt>
                <c:pt idx="457">
                  <c:v>80</c:v>
                </c:pt>
                <c:pt idx="458">
                  <c:v>80</c:v>
                </c:pt>
                <c:pt idx="459">
                  <c:v>80</c:v>
                </c:pt>
                <c:pt idx="460">
                  <c:v>80</c:v>
                </c:pt>
                <c:pt idx="461">
                  <c:v>80</c:v>
                </c:pt>
                <c:pt idx="462">
                  <c:v>80</c:v>
                </c:pt>
                <c:pt idx="463">
                  <c:v>80</c:v>
                </c:pt>
                <c:pt idx="464">
                  <c:v>80</c:v>
                </c:pt>
                <c:pt idx="465">
                  <c:v>80</c:v>
                </c:pt>
                <c:pt idx="466">
                  <c:v>80</c:v>
                </c:pt>
                <c:pt idx="467">
                  <c:v>80</c:v>
                </c:pt>
                <c:pt idx="468">
                  <c:v>80</c:v>
                </c:pt>
                <c:pt idx="469">
                  <c:v>80</c:v>
                </c:pt>
                <c:pt idx="470">
                  <c:v>80</c:v>
                </c:pt>
                <c:pt idx="471">
                  <c:v>80</c:v>
                </c:pt>
                <c:pt idx="472">
                  <c:v>80</c:v>
                </c:pt>
                <c:pt idx="473">
                  <c:v>80</c:v>
                </c:pt>
                <c:pt idx="474">
                  <c:v>80</c:v>
                </c:pt>
                <c:pt idx="475">
                  <c:v>80</c:v>
                </c:pt>
                <c:pt idx="476">
                  <c:v>80</c:v>
                </c:pt>
                <c:pt idx="477">
                  <c:v>80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80</c:v>
                </c:pt>
                <c:pt idx="566">
                  <c:v>80</c:v>
                </c:pt>
                <c:pt idx="567">
                  <c:v>80</c:v>
                </c:pt>
                <c:pt idx="568">
                  <c:v>80</c:v>
                </c:pt>
                <c:pt idx="569">
                  <c:v>80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80</c:v>
                </c:pt>
                <c:pt idx="586">
                  <c:v>80</c:v>
                </c:pt>
                <c:pt idx="587">
                  <c:v>80</c:v>
                </c:pt>
                <c:pt idx="588">
                  <c:v>80</c:v>
                </c:pt>
                <c:pt idx="589">
                  <c:v>80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80</c:v>
                </c:pt>
                <c:pt idx="595">
                  <c:v>80</c:v>
                </c:pt>
                <c:pt idx="596">
                  <c:v>80</c:v>
                </c:pt>
                <c:pt idx="597">
                  <c:v>80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80</c:v>
                </c:pt>
                <c:pt idx="628">
                  <c:v>80</c:v>
                </c:pt>
                <c:pt idx="629">
                  <c:v>80</c:v>
                </c:pt>
                <c:pt idx="630">
                  <c:v>80</c:v>
                </c:pt>
                <c:pt idx="631">
                  <c:v>80</c:v>
                </c:pt>
                <c:pt idx="632">
                  <c:v>80</c:v>
                </c:pt>
                <c:pt idx="633">
                  <c:v>80</c:v>
                </c:pt>
                <c:pt idx="634">
                  <c:v>80</c:v>
                </c:pt>
                <c:pt idx="635">
                  <c:v>80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80</c:v>
                </c:pt>
                <c:pt idx="657">
                  <c:v>80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80</c:v>
                </c:pt>
                <c:pt idx="671">
                  <c:v>80</c:v>
                </c:pt>
              </c:numCache>
            </c:numRef>
          </c:val>
        </c:ser>
        <c:axId val="94896512"/>
        <c:axId val="94898432"/>
      </c:areaChart>
      <c:lineChart>
        <c:grouping val="standard"/>
        <c:ser>
          <c:idx val="4"/>
          <c:order val="3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Data!$B$122:$B$793</c:f>
              <c:numCache>
                <c:formatCode>General</c:formatCode>
                <c:ptCount val="6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</c:numCache>
            </c:numRef>
          </c:val>
          <c:smooth val="1"/>
        </c:ser>
        <c:marker val="1"/>
        <c:axId val="94908416"/>
        <c:axId val="94909952"/>
      </c:lineChart>
      <c:catAx>
        <c:axId val="94896512"/>
        <c:scaling>
          <c:orientation val="minMax"/>
        </c:scaling>
        <c:axPos val="b"/>
        <c:numFmt formatCode="[$-409]h:mm\ AM/PM;@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898432"/>
        <c:crosses val="autoZero"/>
        <c:auto val="1"/>
        <c:lblAlgn val="ctr"/>
        <c:lblOffset val="100"/>
        <c:tickLblSkip val="24"/>
        <c:tickMarkSkip val="24"/>
      </c:catAx>
      <c:valAx>
        <c:axId val="94898432"/>
        <c:scaling>
          <c:orientation val="minMax"/>
          <c:max val="300"/>
          <c:min val="0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896512"/>
        <c:crosses val="autoZero"/>
        <c:crossBetween val="midCat"/>
      </c:valAx>
      <c:catAx>
        <c:axId val="94908416"/>
        <c:scaling>
          <c:orientation val="minMax"/>
        </c:scaling>
        <c:delete val="1"/>
        <c:axPos val="b"/>
        <c:tickLblPos val="none"/>
        <c:crossAx val="94909952"/>
        <c:crosses val="autoZero"/>
        <c:auto val="1"/>
        <c:lblAlgn val="ctr"/>
        <c:lblOffset val="100"/>
      </c:catAx>
      <c:valAx>
        <c:axId val="94909952"/>
        <c:scaling>
          <c:orientation val="minMax"/>
          <c:max val="300"/>
        </c:scaling>
        <c:axPos val="r"/>
        <c:numFmt formatCode="0" sourceLinked="0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490841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>
        <c:manualLayout>
          <c:layoutTarget val="inner"/>
          <c:xMode val="edge"/>
          <c:yMode val="edge"/>
          <c:x val="9.2119866814650397E-2"/>
          <c:y val="0.11908646003262642"/>
          <c:w val="0.2541620421753607"/>
          <c:h val="0.37357259380097946"/>
        </c:manualLayout>
      </c:layout>
      <c:pieChart>
        <c:dLbls>
          <c:showCatName val="1"/>
          <c:showPercent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Afternoon (12PM - 5PM)</a:t>
            </a:r>
          </a:p>
        </c:rich>
      </c:tx>
      <c:layout>
        <c:manualLayout>
          <c:xMode val="edge"/>
          <c:yMode val="edge"/>
          <c:x val="0.27226530759310275"/>
          <c:y val="1.76678750066858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4681995174328036"/>
          <c:y val="0.16961160006418408"/>
          <c:w val="0.5292634016763117"/>
          <c:h val="0.7349836002781318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estFit"/>
            <c:showPercent val="1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Data!$D$115:$D$117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Percent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16231602436151"/>
          <c:y val="0.77385292529283989"/>
          <c:w val="0.17811749094875892"/>
          <c:h val="0.2155480750815674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Morning (6AM - 12PM)</a:t>
            </a:r>
          </a:p>
        </c:rich>
      </c:tx>
      <c:layout>
        <c:manualLayout>
          <c:xMode val="edge"/>
          <c:yMode val="edge"/>
          <c:x val="0.28316326530612246"/>
          <c:y val="1.76678750066858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193877551020422"/>
          <c:y val="0.17314517506552124"/>
          <c:w val="0.53061224489795811"/>
          <c:h val="0.73498360027813181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Percent val="1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Data!$C$115:$C$117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Percent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67346938775508"/>
          <c:y val="0.77385292529283989"/>
          <c:w val="0.17857142857142883"/>
          <c:h val="0.2155480750815674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Evening (5PM - 10PM)</a:t>
            </a:r>
          </a:p>
        </c:rich>
      </c:tx>
      <c:layout>
        <c:manualLayout>
          <c:xMode val="edge"/>
          <c:yMode val="edge"/>
          <c:x val="0.28316326530612246"/>
          <c:y val="1.76678750066858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4234693877551033"/>
          <c:y val="0.19081305007220725"/>
          <c:w val="0.51530612244897955"/>
          <c:h val="0.7137821502701079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Percent val="1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Data!$E$115:$E$117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Percent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67346938775508"/>
          <c:y val="0.77385292529283989"/>
          <c:w val="0.17857142857142883"/>
          <c:h val="0.2155480750815674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1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Night (10PM - 6AM)</a:t>
            </a:r>
          </a:p>
        </c:rich>
      </c:tx>
      <c:layout>
        <c:manualLayout>
          <c:xMode val="edge"/>
          <c:yMode val="edge"/>
          <c:x val="0.31552241253780205"/>
          <c:y val="1.766787500668586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4936448732826277"/>
          <c:y val="0.17667875006685838"/>
          <c:w val="0.51654072375140059"/>
          <c:h val="0.71731572527144516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Percent val="1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Data!$F$115:$F$117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Percent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916231602436151"/>
          <c:y val="0.77385292529283989"/>
          <c:w val="0.17811749094875892"/>
          <c:h val="0.21554807508156743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>
        <c:manualLayout>
          <c:layoutTarget val="inner"/>
          <c:xMode val="edge"/>
          <c:yMode val="edge"/>
          <c:x val="9.2119866814650397E-2"/>
          <c:y val="0.11908646003262642"/>
          <c:w val="0.2541620421753607"/>
          <c:h val="0.37357259380097946"/>
        </c:manualLayout>
      </c:layout>
      <c:pieChart>
        <c:dLbls>
          <c:showCatName val="1"/>
          <c:showPercent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7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Readings</a:t>
            </a:r>
          </a:p>
        </c:rich>
      </c:tx>
      <c:layout>
        <c:manualLayout>
          <c:xMode val="edge"/>
          <c:yMode val="edge"/>
          <c:x val="0.36412078152753147"/>
          <c:y val="1.253135899161722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2557726465364117"/>
          <c:y val="0.16290766689102387"/>
          <c:w val="0.53641207815275227"/>
          <c:h val="0.75689408309368034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Percent val="1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Data!$B$115:$B$117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Percent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836589698046182"/>
          <c:y val="0.80451324726182449"/>
          <c:w val="0.15452930728241582"/>
          <c:h val="0.18295784127761136"/>
        </c:manualLayout>
      </c:layout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Basal Rates</a:t>
            </a:r>
          </a:p>
        </c:rich>
      </c:tx>
      <c:layout>
        <c:manualLayout>
          <c:xMode val="edge"/>
          <c:yMode val="edge"/>
          <c:x val="0.40510543840177549"/>
          <c:y val="1.957585644371943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4.4395116537180909E-2"/>
          <c:y val="0.12724306688417633"/>
          <c:w val="0.94450610432852389"/>
          <c:h val="0.71615008156606852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3175">
              <a:solidFill>
                <a:srgbClr val="333333"/>
              </a:solidFill>
              <a:prstDash val="solid"/>
            </a:ln>
          </c:spPr>
          <c:dPt>
            <c:idx val="0"/>
            <c:spPr>
              <a:solidFill>
                <a:schemeClr val="tx2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"/>
            <c:spPr>
              <a:solidFill>
                <a:schemeClr val="tx2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"/>
            <c:spPr>
              <a:solidFill>
                <a:schemeClr val="tx2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3"/>
            <c:spPr>
              <a:solidFill>
                <a:schemeClr val="accent3">
                  <a:lumMod val="40000"/>
                  <a:lumOff val="6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4"/>
            <c:spPr>
              <a:solidFill>
                <a:schemeClr val="accent3">
                  <a:lumMod val="40000"/>
                  <a:lumOff val="6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5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6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7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8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9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0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1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2"/>
            <c:spPr>
              <a:solidFill>
                <a:schemeClr val="accent6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3"/>
            <c:spPr>
              <a:solidFill>
                <a:schemeClr val="accent3">
                  <a:lumMod val="40000"/>
                  <a:lumOff val="6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4"/>
            <c:spPr>
              <a:solidFill>
                <a:schemeClr val="accent3">
                  <a:lumMod val="40000"/>
                  <a:lumOff val="6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5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6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7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8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9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0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1"/>
            <c:spPr>
              <a:solidFill>
                <a:schemeClr val="accent1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2"/>
            <c:spPr>
              <a:solidFill>
                <a:schemeClr val="tx2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3"/>
            <c:spPr>
              <a:solidFill>
                <a:schemeClr val="tx2">
                  <a:lumMod val="20000"/>
                  <a:lumOff val="80000"/>
                </a:schemeClr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cat>
            <c:numRef>
              <c:f>Data!$W$2:$W$25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Data!$X$2:$X$25</c:f>
              <c:numCache>
                <c:formatCode>0.00</c:formatCode>
                <c:ptCount val="24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0.4</c:v>
                </c:pt>
                <c:pt idx="4">
                  <c:v>0.4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0.65</c:v>
                </c:pt>
                <c:pt idx="23">
                  <c:v>0.65</c:v>
                </c:pt>
              </c:numCache>
            </c:numRef>
          </c:val>
        </c:ser>
        <c:gapWidth val="0"/>
        <c:overlap val="100"/>
        <c:axId val="95329280"/>
        <c:axId val="95339264"/>
      </c:barChart>
      <c:catAx>
        <c:axId val="95329280"/>
        <c:scaling>
          <c:orientation val="minMax"/>
        </c:scaling>
        <c:axPos val="b"/>
        <c:numFmt formatCode="[$-F400]h:mm:ss\ AM/PM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339264"/>
        <c:crosses val="autoZero"/>
        <c:auto val="1"/>
        <c:lblAlgn val="ctr"/>
        <c:lblOffset val="100"/>
        <c:tickLblSkip val="1"/>
        <c:tickMarkSkip val="1"/>
      </c:catAx>
      <c:valAx>
        <c:axId val="95339264"/>
        <c:scaling>
          <c:orientation val="minMax"/>
        </c:scaling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.00" sourceLinked="1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329280"/>
        <c:crosses val="autoZero"/>
        <c:crossBetween val="between"/>
      </c:valAx>
      <c:spPr>
        <a:noFill/>
        <a:ln w="12700">
          <a:solidFill>
            <a:srgbClr val="969696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indexed="43"/>
  </sheetPr>
  <sheetViews>
    <sheetView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indexed="43"/>
  </sheetPr>
  <sheetViews>
    <sheetView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25</xdr:col>
      <xdr:colOff>361950</xdr:colOff>
      <xdr:row>44</xdr:row>
      <xdr:rowOff>152400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92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12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53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76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35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56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399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6</xdr:row>
      <xdr:rowOff>104775</xdr:rowOff>
    </xdr:from>
    <xdr:to>
      <xdr:col>4</xdr:col>
      <xdr:colOff>19050</xdr:colOff>
      <xdr:row>22</xdr:row>
      <xdr:rowOff>57150</xdr:rowOff>
    </xdr:to>
    <xdr:sp macro="" textlink="">
      <xdr:nvSpPr>
        <xdr:cNvPr id="39938" name="Line 2"/>
        <xdr:cNvSpPr>
          <a:spLocks noChangeShapeType="1"/>
        </xdr:cNvSpPr>
      </xdr:nvSpPr>
      <xdr:spPr bwMode="auto">
        <a:xfrm flipH="1" flipV="1">
          <a:off x="1809750" y="1238250"/>
          <a:ext cx="9525" cy="2543175"/>
        </a:xfrm>
        <a:prstGeom prst="line">
          <a:avLst/>
        </a:prstGeom>
        <a:noFill/>
        <a:ln w="9525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7</xdr:col>
      <xdr:colOff>57150</xdr:colOff>
      <xdr:row>6</xdr:row>
      <xdr:rowOff>104775</xdr:rowOff>
    </xdr:from>
    <xdr:to>
      <xdr:col>7</xdr:col>
      <xdr:colOff>66675</xdr:colOff>
      <xdr:row>22</xdr:row>
      <xdr:rowOff>57150</xdr:rowOff>
    </xdr:to>
    <xdr:sp macro="" textlink="">
      <xdr:nvSpPr>
        <xdr:cNvPr id="39939" name="Line 3"/>
        <xdr:cNvSpPr>
          <a:spLocks noChangeShapeType="1"/>
        </xdr:cNvSpPr>
      </xdr:nvSpPr>
      <xdr:spPr bwMode="auto">
        <a:xfrm flipH="1" flipV="1">
          <a:off x="2971800" y="1238250"/>
          <a:ext cx="9525" cy="2543175"/>
        </a:xfrm>
        <a:prstGeom prst="line">
          <a:avLst/>
        </a:prstGeom>
        <a:noFill/>
        <a:ln w="9525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10</xdr:col>
      <xdr:colOff>57150</xdr:colOff>
      <xdr:row>6</xdr:row>
      <xdr:rowOff>95250</xdr:rowOff>
    </xdr:from>
    <xdr:to>
      <xdr:col>10</xdr:col>
      <xdr:colOff>66675</xdr:colOff>
      <xdr:row>22</xdr:row>
      <xdr:rowOff>57150</xdr:rowOff>
    </xdr:to>
    <xdr:sp macro="" textlink="">
      <xdr:nvSpPr>
        <xdr:cNvPr id="39940" name="Line 4"/>
        <xdr:cNvSpPr>
          <a:spLocks noChangeShapeType="1"/>
        </xdr:cNvSpPr>
      </xdr:nvSpPr>
      <xdr:spPr bwMode="auto">
        <a:xfrm flipH="1" flipV="1">
          <a:off x="4143375" y="1228725"/>
          <a:ext cx="9525" cy="2552700"/>
        </a:xfrm>
        <a:prstGeom prst="line">
          <a:avLst/>
        </a:prstGeom>
        <a:noFill/>
        <a:ln w="12700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13</xdr:col>
      <xdr:colOff>104775</xdr:colOff>
      <xdr:row>6</xdr:row>
      <xdr:rowOff>95250</xdr:rowOff>
    </xdr:from>
    <xdr:to>
      <xdr:col>13</xdr:col>
      <xdr:colOff>114300</xdr:colOff>
      <xdr:row>22</xdr:row>
      <xdr:rowOff>57150</xdr:rowOff>
    </xdr:to>
    <xdr:sp macro="" textlink="">
      <xdr:nvSpPr>
        <xdr:cNvPr id="39941" name="Line 5"/>
        <xdr:cNvSpPr>
          <a:spLocks noChangeShapeType="1"/>
        </xdr:cNvSpPr>
      </xdr:nvSpPr>
      <xdr:spPr bwMode="auto">
        <a:xfrm flipH="1" flipV="1">
          <a:off x="5305425" y="1228725"/>
          <a:ext cx="9525" cy="2552700"/>
        </a:xfrm>
        <a:prstGeom prst="line">
          <a:avLst/>
        </a:prstGeom>
        <a:noFill/>
        <a:ln w="9525">
          <a:solidFill>
            <a:srgbClr val="808080"/>
          </a:solidFill>
          <a:round/>
          <a:headEnd/>
          <a:tailEnd/>
        </a:ln>
      </xdr:spPr>
    </xdr:sp>
    <xdr:clientData/>
  </xdr:twoCellAnchor>
  <xdr:twoCellAnchor>
    <xdr:from>
      <xdr:col>16</xdr:col>
      <xdr:colOff>161925</xdr:colOff>
      <xdr:row>6</xdr:row>
      <xdr:rowOff>95250</xdr:rowOff>
    </xdr:from>
    <xdr:to>
      <xdr:col>16</xdr:col>
      <xdr:colOff>171450</xdr:colOff>
      <xdr:row>22</xdr:row>
      <xdr:rowOff>57150</xdr:rowOff>
    </xdr:to>
    <xdr:sp macro="" textlink="">
      <xdr:nvSpPr>
        <xdr:cNvPr id="39942" name="Line 6"/>
        <xdr:cNvSpPr>
          <a:spLocks noChangeShapeType="1"/>
        </xdr:cNvSpPr>
      </xdr:nvSpPr>
      <xdr:spPr bwMode="auto">
        <a:xfrm flipH="1" flipV="1">
          <a:off x="6477000" y="1228725"/>
          <a:ext cx="9525" cy="2552700"/>
        </a:xfrm>
        <a:prstGeom prst="line">
          <a:avLst/>
        </a:prstGeom>
        <a:noFill/>
        <a:ln w="12700">
          <a:solidFill>
            <a:srgbClr val="808080"/>
          </a:solidFill>
          <a:round/>
          <a:headEnd/>
          <a:tailEnd/>
        </a:ln>
      </xdr:spPr>
    </xdr:sp>
    <xdr:clientData/>
  </xdr:twoCellAnchor>
  <xdr:twoCellAnchor editAs="absolute">
    <xdr:from>
      <xdr:col>19</xdr:col>
      <xdr:colOff>219075</xdr:colOff>
      <xdr:row>6</xdr:row>
      <xdr:rowOff>114300</xdr:rowOff>
    </xdr:from>
    <xdr:to>
      <xdr:col>19</xdr:col>
      <xdr:colOff>228600</xdr:colOff>
      <xdr:row>22</xdr:row>
      <xdr:rowOff>57150</xdr:rowOff>
    </xdr:to>
    <xdr:sp macro="" textlink="">
      <xdr:nvSpPr>
        <xdr:cNvPr id="39943" name="Line 7"/>
        <xdr:cNvSpPr>
          <a:spLocks noChangeShapeType="1"/>
        </xdr:cNvSpPr>
      </xdr:nvSpPr>
      <xdr:spPr bwMode="auto">
        <a:xfrm flipH="1" flipV="1">
          <a:off x="7648575" y="1247775"/>
          <a:ext cx="9525" cy="2533650"/>
        </a:xfrm>
        <a:prstGeom prst="line">
          <a:avLst/>
        </a:prstGeom>
        <a:noFill/>
        <a:ln w="12700">
          <a:solidFill>
            <a:srgbClr val="808080"/>
          </a:solidFill>
          <a:round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0.00225</cdr:x>
      <cdr:y>0.0065</cdr:y>
    </cdr:from>
    <cdr:to>
      <cdr:x>1</cdr:x>
      <cdr:y>0.0865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10" y="37952"/>
          <a:ext cx="8562715" cy="4671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800" b="0" i="0" strike="noStrike">
              <a:solidFill>
                <a:srgbClr val="000000"/>
              </a:solidFill>
              <a:latin typeface="Arial"/>
              <a:cs typeface="Arial"/>
            </a:rPr>
            <a:t>Distribution of Readings by Time of Day</a:t>
          </a:r>
        </a:p>
      </cdr:txBody>
    </cdr:sp>
  </cdr:relSizeAnchor>
  <cdr:relSizeAnchor xmlns:cdr="http://schemas.openxmlformats.org/drawingml/2006/chartDrawing">
    <cdr:from>
      <cdr:x>0.061</cdr:x>
      <cdr:y>0.07675</cdr:y>
    </cdr:from>
    <cdr:to>
      <cdr:x>0.932</cdr:x>
      <cdr:y>1</cdr:y>
    </cdr:to>
    <cdr:grpSp>
      <cdr:nvGrpSpPr>
        <cdr:cNvPr id="34823" name="Group 7"/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523504" y="448130"/>
          <a:ext cx="7474943" cy="5390695"/>
          <a:chOff x="523504" y="448130"/>
          <a:chExt cx="7474943" cy="5389235"/>
        </a:xfrm>
      </cdr:grpSpPr>
    </cdr:grpSp>
  </cdr:relSizeAnchor>
  <cdr:relSizeAnchor xmlns:cdr="http://schemas.openxmlformats.org/drawingml/2006/chartDrawing">
    <cdr:from>
      <cdr:x>0.496</cdr:x>
      <cdr:y>0.07675</cdr:y>
    </cdr:from>
    <cdr:to>
      <cdr:x>0.932</cdr:x>
      <cdr:y>0.5385</cdr:y>
    </cdr:to>
    <cdr:graphicFrame macro="">
      <cdr:nvGraphicFramePr>
        <cdr:cNvPr id="34818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0.061</cdr:x>
      <cdr:y>0.07675</cdr:y>
    </cdr:from>
    <cdr:to>
      <cdr:x>0.496</cdr:x>
      <cdr:y>0.5385</cdr:y>
    </cdr:to>
    <cdr:graphicFrame macro="">
      <cdr:nvGraphicFramePr>
        <cdr:cNvPr id="34819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0.061</cdr:x>
      <cdr:y>0.53825</cdr:y>
    </cdr:from>
    <cdr:to>
      <cdr:x>0.496</cdr:x>
      <cdr:y>0.99975</cdr:y>
    </cdr:to>
    <cdr:graphicFrame macro="">
      <cdr:nvGraphicFramePr>
        <cdr:cNvPr id="34820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0.496</cdr:x>
      <cdr:y>0.53825</cdr:y>
    </cdr:from>
    <cdr:to>
      <cdr:x>0.932</cdr:x>
      <cdr:y>0.99975</cdr:y>
    </cdr:to>
    <cdr:graphicFrame macro="">
      <cdr:nvGraphicFramePr>
        <cdr:cNvPr id="34821" name="Chart 5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0.00225</cdr:x>
      <cdr:y>0.0065</cdr:y>
    </cdr:from>
    <cdr:to>
      <cdr:x>1</cdr:x>
      <cdr:y>0.0865</cdr:y>
    </cdr:to>
    <cdr:sp macro="" textlink="">
      <cdr:nvSpPr>
        <cdr:cNvPr id="368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10" y="37952"/>
          <a:ext cx="8562715" cy="4671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800" b="0" i="0" strike="noStrike">
              <a:solidFill>
                <a:srgbClr val="000000"/>
              </a:solidFill>
              <a:latin typeface="Arial"/>
              <a:cs typeface="Arial"/>
            </a:rPr>
            <a:t>Distribution of All Readings</a:t>
          </a:r>
        </a:p>
      </cdr:txBody>
    </cdr:sp>
  </cdr:relSizeAnchor>
  <cdr:relSizeAnchor xmlns:cdr="http://schemas.openxmlformats.org/drawingml/2006/chartDrawing">
    <cdr:from>
      <cdr:x>0.193</cdr:x>
      <cdr:y>0.13725</cdr:y>
    </cdr:from>
    <cdr:to>
      <cdr:x>0.8175</cdr:x>
      <cdr:y>0.788</cdr:y>
    </cdr:to>
    <cdr:graphicFrame macro="">
      <cdr:nvGraphicFramePr>
        <cdr:cNvPr id="36868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0.91525</cdr:x>
      <cdr:y>0.224</cdr:y>
    </cdr:from>
    <cdr:to>
      <cdr:x>0.94375</cdr:x>
      <cdr:y>0.27625</cdr:y>
    </cdr:to>
    <cdr:sp macro="" textlink="">
      <cdr:nvSpPr>
        <cdr:cNvPr id="307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54698" y="1307897"/>
          <a:ext cx="244588" cy="3050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en-US" sz="1800" b="1" i="0" strike="noStrike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scotts-dblife.blogspot.com/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parenthetic.diabetic@gmail.com" TargetMode="External"/><Relationship Id="rId1" Type="http://schemas.openxmlformats.org/officeDocument/2006/relationships/hyperlink" Target="mailto:kevin_perese@yahoo.com" TargetMode="External"/><Relationship Id="rId6" Type="http://schemas.openxmlformats.org/officeDocument/2006/relationships/hyperlink" Target="http://chrissieinbelgium.blogspot.com/" TargetMode="External"/><Relationship Id="rId5" Type="http://schemas.openxmlformats.org/officeDocument/2006/relationships/hyperlink" Target="http://infusionofthought.blogspot.com/" TargetMode="External"/><Relationship Id="rId4" Type="http://schemas.openxmlformats.org/officeDocument/2006/relationships/hyperlink" Target="http://orsaaetas.blogspo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AK48"/>
  <sheetViews>
    <sheetView showGridLines="0" tabSelected="1" workbookViewId="0"/>
  </sheetViews>
  <sheetFormatPr defaultRowHeight="12.75"/>
  <cols>
    <col min="1" max="1" width="2.42578125" style="6" customWidth="1"/>
    <col min="2" max="2" width="9.28515625" style="6" bestFit="1" customWidth="1"/>
    <col min="3" max="25" width="5.5703125" style="6" customWidth="1"/>
    <col min="26" max="26" width="5.42578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37" ht="6" customHeight="1"/>
    <row r="2" spans="2:37" ht="20.25">
      <c r="B2" s="93">
        <v>40238</v>
      </c>
      <c r="C2" s="93"/>
      <c r="D2" s="93"/>
      <c r="E2" s="93"/>
      <c r="F2" s="93"/>
      <c r="G2" s="93"/>
      <c r="H2" s="93"/>
      <c r="I2" s="93"/>
      <c r="J2" s="8"/>
      <c r="K2" s="8"/>
      <c r="L2" s="33"/>
    </row>
    <row r="3" spans="2:37" ht="6" customHeight="1"/>
    <row r="4" spans="2:37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37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37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6">
        <f>Data!B104</f>
        <v>0</v>
      </c>
    </row>
    <row r="7" spans="2:37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6">
        <f>Data!B105</f>
        <v>0</v>
      </c>
    </row>
    <row r="8" spans="2:37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37" ht="13.5" thickTop="1">
      <c r="B9" s="18" t="s">
        <v>26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29"/>
      <c r="P9" s="2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37">
      <c r="B10" s="3" t="s">
        <v>24</v>
      </c>
      <c r="C10" s="7"/>
      <c r="D10" s="7"/>
      <c r="E10" s="42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37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37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37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37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 t="s">
        <v>37</v>
      </c>
      <c r="AA14" s="43"/>
      <c r="AB14" s="44"/>
      <c r="AC14" s="43"/>
      <c r="AD14" s="43"/>
      <c r="AE14" s="43"/>
      <c r="AF14" s="43"/>
      <c r="AG14" s="43"/>
      <c r="AH14" s="43"/>
      <c r="AI14" s="43"/>
      <c r="AJ14" s="43"/>
      <c r="AK14" s="43"/>
    </row>
    <row r="15" spans="2:37" ht="12.75" customHeight="1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  <c r="AA15" s="43"/>
      <c r="AB15" s="45"/>
      <c r="AC15" s="46"/>
      <c r="AD15" s="46"/>
      <c r="AE15" s="46"/>
      <c r="AF15" s="46"/>
      <c r="AG15" s="46"/>
      <c r="AH15" s="46"/>
      <c r="AI15" s="46"/>
      <c r="AJ15" s="46"/>
      <c r="AK15" s="46"/>
    </row>
    <row r="16" spans="2:37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</row>
    <row r="17" spans="2:26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6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6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6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6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6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  <row r="47" spans="2:26">
      <c r="C47" s="34"/>
    </row>
    <row r="48" spans="2:26">
      <c r="C48" s="35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3" priority="1" stopIfTrue="1" operator="greaterThan">
      <formula>199</formula>
    </cfRule>
    <cfRule type="cellIs" dxfId="12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/>
    <row r="2" spans="2:28" ht="20.25">
      <c r="B2" s="93">
        <f>Mon!B2:I2+1</f>
        <v>40239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6">
        <f>Data!C104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6">
        <f>Data!C105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6"/>
      <c r="R13" s="25" t="s">
        <v>36</v>
      </c>
      <c r="S13" s="21"/>
      <c r="T13" s="21"/>
      <c r="U13" s="21"/>
      <c r="V13" s="21"/>
      <c r="W13" s="21"/>
      <c r="X13" s="21"/>
      <c r="Y13" s="21"/>
      <c r="Z13" s="15"/>
      <c r="AB13" s="17"/>
    </row>
    <row r="14" spans="2:28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/>
    </row>
    <row r="15" spans="2:28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</row>
    <row r="16" spans="2:28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</row>
    <row r="17" spans="2:27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7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7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7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7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7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7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68"/>
    </row>
    <row r="24" spans="2:27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7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7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7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7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7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7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7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7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1" priority="1" stopIfTrue="1" operator="greaterThan">
      <formula>199</formula>
    </cfRule>
    <cfRule type="cellIs" dxfId="10" priority="2" stopIfTrue="1" operator="lessThan">
      <formula>70</formula>
    </cfRule>
  </conditionalFormatting>
  <printOptions horizontalCentered="1"/>
  <pageMargins left="0.75" right="0.75" top="1" bottom="1" header="0.5" footer="0.5"/>
  <pageSetup scale="74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/>
    <row r="2" spans="2:28" ht="20.25">
      <c r="B2" s="93">
        <f>Tues!B2:I2+1</f>
        <v>40240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53">
        <f>Data!D104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53">
        <f>Data!D105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30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49"/>
      <c r="P12" s="49"/>
      <c r="Q12" s="48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28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/>
    </row>
    <row r="15" spans="2:28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</row>
    <row r="16" spans="2:28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</row>
    <row r="17" spans="2:26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6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6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6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6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6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9" priority="1" stopIfTrue="1" operator="greaterThan">
      <formula>199</formula>
    </cfRule>
    <cfRule type="cellIs" dxfId="8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/>
    <row r="2" spans="2:28" ht="20.25">
      <c r="B2" s="93">
        <f>Wed!B2:I2+1</f>
        <v>40241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6">
        <f>Data!E104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6">
        <f>Data!E105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19"/>
      <c r="G9" s="19"/>
      <c r="H9" s="19"/>
      <c r="I9" s="19"/>
      <c r="J9" s="29"/>
      <c r="K9" s="19"/>
      <c r="L9" s="19"/>
      <c r="M9" s="19"/>
      <c r="N9" s="19"/>
      <c r="O9" s="19"/>
      <c r="P9" s="2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28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/>
    </row>
    <row r="15" spans="2:28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</row>
    <row r="16" spans="2:28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</row>
    <row r="17" spans="2:26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6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6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6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6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6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7" priority="1" stopIfTrue="1" operator="greaterThan">
      <formula>199</formula>
    </cfRule>
    <cfRule type="cellIs" dxfId="6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/>
    <row r="2" spans="2:28" ht="20.25">
      <c r="B2" s="93">
        <f>Thurs!B2:I2+1</f>
        <v>40242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53">
        <f>Data!F104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53">
        <f>Data!F105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28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/>
    </row>
    <row r="15" spans="2:28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</row>
    <row r="16" spans="2:28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</row>
    <row r="17" spans="2:26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6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6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6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6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6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5" priority="1" stopIfTrue="1" operator="greaterThan">
      <formula>199</formula>
    </cfRule>
    <cfRule type="cellIs" dxfId="4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indexed="47"/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/>
    <row r="2" spans="2:28" ht="20.25">
      <c r="B2" s="93">
        <f>' Fri '!B2:I2+1</f>
        <v>40243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53">
        <f>Data!G104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53">
        <f>Data!G105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28">
      <c r="B14" s="92"/>
      <c r="C14" s="88"/>
      <c r="D14" s="89"/>
      <c r="E14" s="89"/>
      <c r="F14" s="89"/>
      <c r="G14" s="89"/>
      <c r="H14" s="89"/>
      <c r="I14" s="89"/>
      <c r="J14" s="89"/>
      <c r="K14" s="88"/>
      <c r="L14" s="94"/>
      <c r="M14" s="94"/>
      <c r="N14" s="94"/>
      <c r="O14" s="94"/>
      <c r="P14" s="94"/>
      <c r="Q14" s="94"/>
      <c r="R14" s="88"/>
      <c r="S14" s="89"/>
      <c r="T14" s="89"/>
      <c r="U14" s="89"/>
      <c r="V14" s="89"/>
      <c r="W14" s="89"/>
      <c r="X14" s="89"/>
      <c r="Y14" s="89"/>
      <c r="Z14" s="15"/>
    </row>
    <row r="15" spans="2:28">
      <c r="B15" s="92"/>
      <c r="C15" s="90"/>
      <c r="D15" s="89"/>
      <c r="E15" s="89"/>
      <c r="F15" s="89"/>
      <c r="G15" s="89"/>
      <c r="H15" s="89"/>
      <c r="I15" s="89"/>
      <c r="J15" s="89"/>
      <c r="K15" s="95"/>
      <c r="L15" s="94"/>
      <c r="M15" s="94"/>
      <c r="N15" s="94"/>
      <c r="O15" s="94"/>
      <c r="P15" s="94"/>
      <c r="Q15" s="94"/>
      <c r="R15" s="90"/>
      <c r="S15" s="89"/>
      <c r="T15" s="89"/>
      <c r="U15" s="89"/>
      <c r="V15" s="89"/>
      <c r="W15" s="89"/>
      <c r="X15" s="89"/>
      <c r="Y15" s="89"/>
      <c r="Z15" s="15"/>
    </row>
    <row r="16" spans="2:28">
      <c r="B16" s="92"/>
      <c r="C16" s="90"/>
      <c r="D16" s="89"/>
      <c r="E16" s="89"/>
      <c r="F16" s="89"/>
      <c r="G16" s="89"/>
      <c r="H16" s="89"/>
      <c r="I16" s="89"/>
      <c r="J16" s="89"/>
      <c r="K16" s="95"/>
      <c r="L16" s="94"/>
      <c r="M16" s="94"/>
      <c r="N16" s="94"/>
      <c r="O16" s="94"/>
      <c r="P16" s="94"/>
      <c r="Q16" s="94"/>
      <c r="R16" s="90"/>
      <c r="S16" s="89"/>
      <c r="T16" s="89"/>
      <c r="U16" s="89"/>
      <c r="V16" s="89"/>
      <c r="W16" s="89"/>
      <c r="X16" s="89"/>
      <c r="Y16" s="89"/>
      <c r="Z16" s="15"/>
    </row>
    <row r="17" spans="2:26">
      <c r="B17" s="92"/>
      <c r="C17" s="90"/>
      <c r="D17" s="89"/>
      <c r="E17" s="89"/>
      <c r="F17" s="89"/>
      <c r="G17" s="89"/>
      <c r="H17" s="89"/>
      <c r="I17" s="89"/>
      <c r="J17" s="89"/>
      <c r="K17" s="95"/>
      <c r="L17" s="94"/>
      <c r="M17" s="94"/>
      <c r="N17" s="94"/>
      <c r="O17" s="94"/>
      <c r="P17" s="94"/>
      <c r="Q17" s="94"/>
      <c r="R17" s="90"/>
      <c r="S17" s="89"/>
      <c r="T17" s="89"/>
      <c r="U17" s="89"/>
      <c r="V17" s="89"/>
      <c r="W17" s="89"/>
      <c r="X17" s="89"/>
      <c r="Y17" s="89"/>
      <c r="Z17" s="15"/>
    </row>
    <row r="18" spans="2:26">
      <c r="B18" s="92"/>
      <c r="C18" s="90"/>
      <c r="D18" s="89"/>
      <c r="E18" s="89"/>
      <c r="F18" s="89"/>
      <c r="G18" s="89"/>
      <c r="H18" s="89"/>
      <c r="I18" s="89"/>
      <c r="J18" s="89"/>
      <c r="K18" s="95"/>
      <c r="L18" s="94"/>
      <c r="M18" s="94"/>
      <c r="N18" s="94"/>
      <c r="O18" s="94"/>
      <c r="P18" s="94"/>
      <c r="Q18" s="94"/>
      <c r="R18" s="90"/>
      <c r="S18" s="89"/>
      <c r="T18" s="89"/>
      <c r="U18" s="89"/>
      <c r="V18" s="89"/>
      <c r="W18" s="89"/>
      <c r="X18" s="89"/>
      <c r="Y18" s="89"/>
      <c r="Z18" s="15"/>
    </row>
    <row r="19" spans="2:26">
      <c r="B19" s="92"/>
      <c r="C19" s="90"/>
      <c r="D19" s="89"/>
      <c r="E19" s="89"/>
      <c r="F19" s="89"/>
      <c r="G19" s="89"/>
      <c r="H19" s="89"/>
      <c r="I19" s="89"/>
      <c r="J19" s="89"/>
      <c r="K19" s="95"/>
      <c r="L19" s="94"/>
      <c r="M19" s="94"/>
      <c r="N19" s="94"/>
      <c r="O19" s="94"/>
      <c r="P19" s="94"/>
      <c r="Q19" s="94"/>
      <c r="R19" s="90"/>
      <c r="S19" s="89"/>
      <c r="T19" s="89"/>
      <c r="U19" s="89"/>
      <c r="V19" s="89"/>
      <c r="W19" s="89"/>
      <c r="X19" s="89"/>
      <c r="Y19" s="89"/>
      <c r="Z19" s="15"/>
    </row>
    <row r="20" spans="2:26">
      <c r="B20" s="92"/>
      <c r="C20" s="90"/>
      <c r="D20" s="89"/>
      <c r="E20" s="89"/>
      <c r="F20" s="89"/>
      <c r="G20" s="89"/>
      <c r="H20" s="89"/>
      <c r="I20" s="89"/>
      <c r="J20" s="89"/>
      <c r="K20" s="95"/>
      <c r="L20" s="94"/>
      <c r="M20" s="94"/>
      <c r="N20" s="94"/>
      <c r="O20" s="94"/>
      <c r="P20" s="94"/>
      <c r="Q20" s="94"/>
      <c r="R20" s="90"/>
      <c r="S20" s="89"/>
      <c r="T20" s="89"/>
      <c r="U20" s="89"/>
      <c r="V20" s="89"/>
      <c r="W20" s="89"/>
      <c r="X20" s="89"/>
      <c r="Y20" s="89"/>
      <c r="Z20" s="15"/>
    </row>
    <row r="21" spans="2:26">
      <c r="B21" s="92"/>
      <c r="C21" s="90"/>
      <c r="D21" s="89"/>
      <c r="E21" s="89"/>
      <c r="F21" s="89"/>
      <c r="G21" s="89"/>
      <c r="H21" s="89"/>
      <c r="I21" s="89"/>
      <c r="J21" s="89"/>
      <c r="K21" s="95"/>
      <c r="L21" s="94"/>
      <c r="M21" s="94"/>
      <c r="N21" s="94"/>
      <c r="O21" s="94"/>
      <c r="P21" s="94"/>
      <c r="Q21" s="94"/>
      <c r="R21" s="90"/>
      <c r="S21" s="89"/>
      <c r="T21" s="89"/>
      <c r="U21" s="89"/>
      <c r="V21" s="89"/>
      <c r="W21" s="89"/>
      <c r="X21" s="89"/>
      <c r="Y21" s="89"/>
      <c r="Z21" s="15"/>
    </row>
    <row r="22" spans="2:26">
      <c r="B22"/>
      <c r="C22"/>
      <c r="D22"/>
      <c r="E22"/>
      <c r="F22"/>
      <c r="G22"/>
      <c r="H22"/>
      <c r="I22"/>
      <c r="J22"/>
      <c r="K22" s="95"/>
      <c r="L22" s="94"/>
      <c r="M22" s="94"/>
      <c r="N22" s="94"/>
      <c r="O22" s="94"/>
      <c r="P22" s="94"/>
      <c r="Q22" s="94"/>
      <c r="R22"/>
      <c r="S22"/>
      <c r="T22"/>
      <c r="U22"/>
      <c r="V22"/>
      <c r="W22"/>
      <c r="X22"/>
      <c r="Y22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3" priority="1" stopIfTrue="1" operator="greaterThan">
      <formula>199</formula>
    </cfRule>
    <cfRule type="cellIs" dxfId="2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>
    <tabColor indexed="47"/>
    <pageSetUpPr fitToPage="1"/>
  </sheetPr>
  <dimension ref="B1:AB46"/>
  <sheetViews>
    <sheetView showGridLines="0" workbookViewId="0"/>
  </sheetViews>
  <sheetFormatPr defaultRowHeight="12.75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/>
    <row r="2" spans="2:28" ht="20.25">
      <c r="B2" s="93">
        <f>Sat!B2:I2+1</f>
        <v>40244</v>
      </c>
      <c r="C2" s="93"/>
      <c r="D2" s="93"/>
      <c r="E2" s="93"/>
      <c r="F2" s="93"/>
      <c r="G2" s="93"/>
      <c r="H2" s="93"/>
      <c r="I2" s="93"/>
    </row>
    <row r="3" spans="2:28" ht="6" customHeight="1"/>
    <row r="4" spans="2:28">
      <c r="B4" s="24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3" t="s">
        <v>39</v>
      </c>
      <c r="AB4" s="53">
        <f>COUNTIF(C5:Z8,"&gt;0")</f>
        <v>0</v>
      </c>
    </row>
    <row r="5" spans="2:28">
      <c r="B5" s="5">
        <v>0</v>
      </c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23" t="s">
        <v>38</v>
      </c>
      <c r="AB5" s="65">
        <f>IF(COUNTIF(C5:Z8,"&gt;0"),SUMIF(C5:Z8,"&gt;0")/COUNTIF(C5:Z8,"&gt;0"),0)</f>
        <v>0</v>
      </c>
    </row>
    <row r="6" spans="2:28">
      <c r="B6" s="1">
        <v>1.0416666666666666E-2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23" t="s">
        <v>61</v>
      </c>
      <c r="AB6" s="6">
        <f>Data!H104</f>
        <v>0</v>
      </c>
    </row>
    <row r="7" spans="2:28">
      <c r="B7" s="5">
        <v>2.0833333333333332E-2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23" t="s">
        <v>60</v>
      </c>
      <c r="AB7" s="6">
        <f>Data!H105</f>
        <v>0</v>
      </c>
    </row>
    <row r="8" spans="2:28" ht="13.5" thickBot="1">
      <c r="B8" s="20">
        <v>3.125E-2</v>
      </c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64" t="s">
        <v>83</v>
      </c>
      <c r="AB8" s="73">
        <f>IF(COUNT(C5:Z8,"&gt;0")&gt;1,STDEV(C5:Z8),0)</f>
        <v>0</v>
      </c>
    </row>
    <row r="9" spans="2:28" ht="13.5" thickTop="1">
      <c r="B9" s="18" t="s">
        <v>26</v>
      </c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23" t="s">
        <v>70</v>
      </c>
      <c r="AB9" s="6">
        <f>SUM(C9:Z9)</f>
        <v>0</v>
      </c>
    </row>
    <row r="10" spans="2:28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3" t="s">
        <v>71</v>
      </c>
      <c r="AB10" s="6">
        <f>SUM(C10:Z10)</f>
        <v>0</v>
      </c>
    </row>
    <row r="11" spans="2:28">
      <c r="B11" s="2" t="s">
        <v>25</v>
      </c>
      <c r="C11" s="87">
        <f>Data!X2</f>
        <v>0.65</v>
      </c>
      <c r="D11" s="87">
        <f>Data!X3</f>
        <v>0.65</v>
      </c>
      <c r="E11" s="87">
        <f>Data!X4</f>
        <v>0.65</v>
      </c>
      <c r="F11" s="87">
        <f>Data!X5</f>
        <v>0.4</v>
      </c>
      <c r="G11" s="87">
        <f>Data!X6</f>
        <v>0.4</v>
      </c>
      <c r="H11" s="87">
        <f>Data!X7</f>
        <v>0.3</v>
      </c>
      <c r="I11" s="87">
        <f>Data!X8</f>
        <v>0.3</v>
      </c>
      <c r="J11" s="87">
        <f>Data!X9</f>
        <v>0.3</v>
      </c>
      <c r="K11" s="87">
        <f>Data!X10</f>
        <v>0.3</v>
      </c>
      <c r="L11" s="87">
        <f>Data!X11</f>
        <v>0.3</v>
      </c>
      <c r="M11" s="87">
        <f>Data!X12</f>
        <v>0.3</v>
      </c>
      <c r="N11" s="87">
        <f>Data!X13</f>
        <v>0.3</v>
      </c>
      <c r="O11" s="87">
        <f>Data!X14</f>
        <v>0.3</v>
      </c>
      <c r="P11" s="87">
        <f>Data!X15</f>
        <v>0.4</v>
      </c>
      <c r="Q11" s="87">
        <f>Data!X16</f>
        <v>0.4</v>
      </c>
      <c r="R11" s="87">
        <f>Data!X17</f>
        <v>0.6</v>
      </c>
      <c r="S11" s="87">
        <f>Data!X18</f>
        <v>0.6</v>
      </c>
      <c r="T11" s="87">
        <f>Data!X19</f>
        <v>0.6</v>
      </c>
      <c r="U11" s="87">
        <f>Data!X20</f>
        <v>0.6</v>
      </c>
      <c r="V11" s="87">
        <f>Data!X21</f>
        <v>0.6</v>
      </c>
      <c r="W11" s="87">
        <f>Data!X22</f>
        <v>0.6</v>
      </c>
      <c r="X11" s="87">
        <f>Data!X23</f>
        <v>0.6</v>
      </c>
      <c r="Y11" s="87">
        <f>Data!X24</f>
        <v>0.65</v>
      </c>
      <c r="Z11" s="87">
        <f>Data!X25</f>
        <v>0.65</v>
      </c>
      <c r="AA11" s="63" t="s">
        <v>72</v>
      </c>
      <c r="AB11" s="6">
        <f>SUM(C11:Z11)</f>
        <v>11.449999999999998</v>
      </c>
    </row>
    <row r="12" spans="2:28" ht="13.5" thickBot="1">
      <c r="B12" s="22" t="s">
        <v>27</v>
      </c>
      <c r="C12" s="27"/>
      <c r="D12" s="27"/>
      <c r="E12" s="62"/>
      <c r="F12" s="48"/>
      <c r="G12" s="49"/>
      <c r="H12" s="48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3" t="s">
        <v>73</v>
      </c>
      <c r="AB12" s="6">
        <f>AB11+AB10</f>
        <v>11.449999999999998</v>
      </c>
    </row>
    <row r="13" spans="2:28" ht="13.5" thickTop="1">
      <c r="B13" s="91" t="s">
        <v>28</v>
      </c>
      <c r="C13" s="25" t="s">
        <v>34</v>
      </c>
      <c r="D13" s="21"/>
      <c r="E13" s="21"/>
      <c r="F13" s="21"/>
      <c r="G13" s="21"/>
      <c r="H13" s="21"/>
      <c r="I13" s="21"/>
      <c r="J13" s="21"/>
      <c r="K13" s="25" t="s">
        <v>35</v>
      </c>
      <c r="L13" s="21"/>
      <c r="M13" s="21"/>
      <c r="N13" s="21"/>
      <c r="O13" s="21"/>
      <c r="P13" s="21"/>
      <c r="Q13" s="21"/>
      <c r="R13" s="25" t="s">
        <v>36</v>
      </c>
      <c r="S13" s="21"/>
      <c r="T13" s="21"/>
      <c r="U13" s="21"/>
      <c r="V13" s="21"/>
      <c r="W13" s="21"/>
      <c r="X13" s="21"/>
      <c r="Y13" s="21"/>
      <c r="Z13" s="15"/>
    </row>
    <row r="14" spans="2:28">
      <c r="B14" s="92"/>
      <c r="C14" s="99"/>
      <c r="D14" s="97"/>
      <c r="E14" s="97"/>
      <c r="F14" s="97"/>
      <c r="G14" s="97"/>
      <c r="H14" s="97"/>
      <c r="I14" s="97"/>
      <c r="J14" s="97"/>
      <c r="K14" s="99"/>
      <c r="L14" s="100"/>
      <c r="M14" s="100"/>
      <c r="N14" s="100"/>
      <c r="O14" s="100"/>
      <c r="P14" s="100"/>
      <c r="Q14" s="100"/>
      <c r="R14" s="96"/>
      <c r="S14" s="97"/>
      <c r="T14" s="97"/>
      <c r="U14" s="97"/>
      <c r="V14" s="97"/>
      <c r="W14" s="97"/>
      <c r="X14" s="97"/>
      <c r="Y14" s="97"/>
      <c r="Z14" s="15"/>
    </row>
    <row r="15" spans="2:28">
      <c r="B15" s="92"/>
      <c r="C15" s="98"/>
      <c r="D15" s="97"/>
      <c r="E15" s="97"/>
      <c r="F15" s="97"/>
      <c r="G15" s="97"/>
      <c r="H15" s="97"/>
      <c r="I15" s="97"/>
      <c r="J15" s="97"/>
      <c r="K15" s="101"/>
      <c r="L15" s="100"/>
      <c r="M15" s="100"/>
      <c r="N15" s="100"/>
      <c r="O15" s="100"/>
      <c r="P15" s="100"/>
      <c r="Q15" s="100"/>
      <c r="R15" s="98"/>
      <c r="S15" s="97"/>
      <c r="T15" s="97"/>
      <c r="U15" s="97"/>
      <c r="V15" s="97"/>
      <c r="W15" s="97"/>
      <c r="X15" s="97"/>
      <c r="Y15" s="97"/>
      <c r="Z15" s="15"/>
    </row>
    <row r="16" spans="2:28">
      <c r="B16" s="92"/>
      <c r="C16" s="98"/>
      <c r="D16" s="97"/>
      <c r="E16" s="97"/>
      <c r="F16" s="97"/>
      <c r="G16" s="97"/>
      <c r="H16" s="97"/>
      <c r="I16" s="97"/>
      <c r="J16" s="97"/>
      <c r="K16" s="101"/>
      <c r="L16" s="100"/>
      <c r="M16" s="100"/>
      <c r="N16" s="100"/>
      <c r="O16" s="100"/>
      <c r="P16" s="100"/>
      <c r="Q16" s="100"/>
      <c r="R16" s="98"/>
      <c r="S16" s="97"/>
      <c r="T16" s="97"/>
      <c r="U16" s="97"/>
      <c r="V16" s="97"/>
      <c r="W16" s="97"/>
      <c r="X16" s="97"/>
      <c r="Y16" s="97"/>
      <c r="Z16" s="15"/>
    </row>
    <row r="17" spans="2:26">
      <c r="B17" s="92"/>
      <c r="C17" s="98"/>
      <c r="D17" s="97"/>
      <c r="E17" s="97"/>
      <c r="F17" s="97"/>
      <c r="G17" s="97"/>
      <c r="H17" s="97"/>
      <c r="I17" s="97"/>
      <c r="J17" s="97"/>
      <c r="K17" s="101"/>
      <c r="L17" s="100"/>
      <c r="M17" s="100"/>
      <c r="N17" s="100"/>
      <c r="O17" s="100"/>
      <c r="P17" s="100"/>
      <c r="Q17" s="100"/>
      <c r="R17" s="98"/>
      <c r="S17" s="97"/>
      <c r="T17" s="97"/>
      <c r="U17" s="97"/>
      <c r="V17" s="97"/>
      <c r="W17" s="97"/>
      <c r="X17" s="97"/>
      <c r="Y17" s="97"/>
      <c r="Z17" s="15"/>
    </row>
    <row r="18" spans="2:26">
      <c r="B18" s="92"/>
      <c r="C18" s="98"/>
      <c r="D18" s="97"/>
      <c r="E18" s="97"/>
      <c r="F18" s="97"/>
      <c r="G18" s="97"/>
      <c r="H18" s="97"/>
      <c r="I18" s="97"/>
      <c r="J18" s="97"/>
      <c r="K18" s="101"/>
      <c r="L18" s="100"/>
      <c r="M18" s="100"/>
      <c r="N18" s="100"/>
      <c r="O18" s="100"/>
      <c r="P18" s="100"/>
      <c r="Q18" s="100"/>
      <c r="R18" s="98"/>
      <c r="S18" s="97"/>
      <c r="T18" s="97"/>
      <c r="U18" s="97"/>
      <c r="V18" s="97"/>
      <c r="W18" s="97"/>
      <c r="X18" s="97"/>
      <c r="Y18" s="97"/>
      <c r="Z18" s="15"/>
    </row>
    <row r="19" spans="2:26">
      <c r="B19" s="92"/>
      <c r="C19" s="98"/>
      <c r="D19" s="97"/>
      <c r="E19" s="97"/>
      <c r="F19" s="97"/>
      <c r="G19" s="97"/>
      <c r="H19" s="97"/>
      <c r="I19" s="97"/>
      <c r="J19" s="97"/>
      <c r="K19" s="101"/>
      <c r="L19" s="100"/>
      <c r="M19" s="100"/>
      <c r="N19" s="100"/>
      <c r="O19" s="100"/>
      <c r="P19" s="100"/>
      <c r="Q19" s="100"/>
      <c r="R19" s="98"/>
      <c r="S19" s="97"/>
      <c r="T19" s="97"/>
      <c r="U19" s="97"/>
      <c r="V19" s="97"/>
      <c r="W19" s="97"/>
      <c r="X19" s="97"/>
      <c r="Y19" s="97"/>
      <c r="Z19" s="15"/>
    </row>
    <row r="20" spans="2:26">
      <c r="B20" s="92"/>
      <c r="C20" s="98"/>
      <c r="D20" s="97"/>
      <c r="E20" s="97"/>
      <c r="F20" s="97"/>
      <c r="G20" s="97"/>
      <c r="H20" s="97"/>
      <c r="I20" s="97"/>
      <c r="J20" s="97"/>
      <c r="K20" s="101"/>
      <c r="L20" s="100"/>
      <c r="M20" s="100"/>
      <c r="N20" s="100"/>
      <c r="O20" s="100"/>
      <c r="P20" s="100"/>
      <c r="Q20" s="100"/>
      <c r="R20" s="98"/>
      <c r="S20" s="97"/>
      <c r="T20" s="97"/>
      <c r="U20" s="97"/>
      <c r="V20" s="97"/>
      <c r="W20" s="97"/>
      <c r="X20" s="97"/>
      <c r="Y20" s="97"/>
      <c r="Z20" s="15"/>
    </row>
    <row r="21" spans="2:26">
      <c r="B21" s="92"/>
      <c r="C21" s="98"/>
      <c r="D21" s="97"/>
      <c r="E21" s="97"/>
      <c r="F21" s="97"/>
      <c r="G21" s="97"/>
      <c r="H21" s="97"/>
      <c r="I21" s="97"/>
      <c r="J21" s="97"/>
      <c r="K21" s="101"/>
      <c r="L21" s="100"/>
      <c r="M21" s="100"/>
      <c r="N21" s="100"/>
      <c r="O21" s="100"/>
      <c r="P21" s="100"/>
      <c r="Q21" s="100"/>
      <c r="R21" s="98"/>
      <c r="S21" s="97"/>
      <c r="T21" s="97"/>
      <c r="U21" s="97"/>
      <c r="V21" s="97"/>
      <c r="W21" s="97"/>
      <c r="X21" s="97"/>
      <c r="Y21" s="97"/>
      <c r="Z21" s="15"/>
    </row>
    <row r="22" spans="2:26">
      <c r="B22"/>
      <c r="C22" s="61"/>
      <c r="D22" s="61"/>
      <c r="E22" s="61"/>
      <c r="F22" s="61"/>
      <c r="G22" s="61"/>
      <c r="H22" s="61"/>
      <c r="I22" s="61"/>
      <c r="J22" s="61"/>
      <c r="K22" s="101"/>
      <c r="L22" s="100"/>
      <c r="M22" s="100"/>
      <c r="N22" s="100"/>
      <c r="O22" s="100"/>
      <c r="P22" s="100"/>
      <c r="Q22" s="100"/>
      <c r="R22" s="61"/>
      <c r="S22" s="61"/>
      <c r="T22" s="61"/>
      <c r="U22" s="61"/>
      <c r="V22" s="61"/>
      <c r="W22" s="61"/>
      <c r="X22" s="61"/>
      <c r="Y22" s="61"/>
      <c r="Z22"/>
    </row>
    <row r="23" spans="2:26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>
      <c r="B46" s="28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" priority="1" stopIfTrue="1" operator="greaterThan">
      <formula>199</formula>
    </cfRule>
    <cfRule type="cellIs" dxfId="0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 enableFormatConditionsCalculation="0">
    <tabColor indexed="43"/>
    <pageSetUpPr fitToPage="1"/>
  </sheetPr>
  <dimension ref="B1:X38"/>
  <sheetViews>
    <sheetView showGridLines="0" workbookViewId="0">
      <selection activeCell="J32" sqref="J32"/>
    </sheetView>
  </sheetViews>
  <sheetFormatPr defaultRowHeight="12.75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27" width="4.7109375" style="6" customWidth="1"/>
    <col min="28" max="16384" width="9.140625" style="6"/>
  </cols>
  <sheetData>
    <row r="1" spans="2:24" ht="6" customHeight="1"/>
    <row r="2" spans="2:24" ht="21" thickBot="1">
      <c r="B2" s="32" t="s">
        <v>41</v>
      </c>
      <c r="C2" s="32"/>
      <c r="D2" s="32"/>
      <c r="E2" s="32"/>
      <c r="F2" s="32"/>
      <c r="G2" s="32"/>
      <c r="H2" s="32"/>
      <c r="I2" s="40">
        <f>Data!B111</f>
        <v>0</v>
      </c>
    </row>
    <row r="3" spans="2:24" ht="16.5" thickTop="1">
      <c r="B3" s="39">
        <f>Mon!B2:I2</f>
        <v>40238</v>
      </c>
      <c r="C3" s="38" t="s">
        <v>42</v>
      </c>
      <c r="D3" s="37">
        <f>B3+4</f>
        <v>40242</v>
      </c>
      <c r="E3" s="36"/>
    </row>
    <row r="4" spans="2:24" ht="12.75" customHeight="1"/>
    <row r="5" spans="2:24" ht="20.25">
      <c r="J5" s="47" t="s">
        <v>45</v>
      </c>
    </row>
    <row r="6" spans="2:24">
      <c r="B6"/>
      <c r="C6"/>
      <c r="D6"/>
      <c r="E6"/>
      <c r="F6"/>
      <c r="G6"/>
      <c r="H6"/>
      <c r="I6" s="95"/>
      <c r="J6" s="94"/>
      <c r="K6" s="94"/>
      <c r="L6" s="94"/>
      <c r="M6" s="94"/>
      <c r="N6" s="94"/>
      <c r="O6" s="94"/>
      <c r="P6"/>
      <c r="Q6"/>
      <c r="R6"/>
      <c r="S6"/>
      <c r="T6"/>
      <c r="U6"/>
      <c r="V6"/>
      <c r="W6"/>
      <c r="X6"/>
    </row>
    <row r="7" spans="2:2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>
      <c r="B30" s="28"/>
    </row>
    <row r="31" spans="2:24">
      <c r="B31" s="56"/>
      <c r="C31" s="58"/>
      <c r="D31" s="55" t="s">
        <v>38</v>
      </c>
      <c r="E31" s="56"/>
      <c r="F31" s="55" t="s">
        <v>61</v>
      </c>
      <c r="G31" s="57"/>
      <c r="H31" s="55" t="s">
        <v>60</v>
      </c>
      <c r="I31" s="57"/>
      <c r="J31" s="55" t="s">
        <v>83</v>
      </c>
      <c r="K31" s="58"/>
      <c r="L31" s="66"/>
      <c r="M31" s="55" t="s">
        <v>26</v>
      </c>
      <c r="N31" s="56"/>
      <c r="O31" s="56"/>
      <c r="P31" s="55" t="s">
        <v>73</v>
      </c>
    </row>
    <row r="32" spans="2:24">
      <c r="B32" s="23" t="s">
        <v>63</v>
      </c>
      <c r="C32" s="59"/>
      <c r="D32" s="54">
        <f>Data!B103</f>
        <v>0</v>
      </c>
      <c r="F32" s="6">
        <f>Data!B104</f>
        <v>0</v>
      </c>
      <c r="H32" s="6">
        <f>Data!B105</f>
        <v>0</v>
      </c>
      <c r="J32" s="74">
        <f>Mon!AB8</f>
        <v>0</v>
      </c>
      <c r="K32" s="59"/>
      <c r="M32" s="6">
        <f>Mon!AB9</f>
        <v>0</v>
      </c>
      <c r="P32" s="67">
        <f>Mon!AB12</f>
        <v>11.449999999999998</v>
      </c>
    </row>
    <row r="33" spans="2:16">
      <c r="B33" s="23" t="s">
        <v>64</v>
      </c>
      <c r="C33" s="59"/>
      <c r="D33" s="54">
        <f>Data!C103</f>
        <v>0</v>
      </c>
      <c r="F33" s="6">
        <f>Data!C104</f>
        <v>0</v>
      </c>
      <c r="H33" s="6">
        <f>Data!C105</f>
        <v>0</v>
      </c>
      <c r="J33" s="74">
        <f>Tues!AB8</f>
        <v>0</v>
      </c>
      <c r="K33" s="59"/>
      <c r="M33" s="6">
        <f>Tues!AB9</f>
        <v>0</v>
      </c>
      <c r="P33" s="67">
        <f>Tues!AB12</f>
        <v>11.449999999999998</v>
      </c>
    </row>
    <row r="34" spans="2:16">
      <c r="B34" s="23" t="s">
        <v>65</v>
      </c>
      <c r="C34" s="59"/>
      <c r="D34" s="54">
        <f>Data!D103</f>
        <v>0</v>
      </c>
      <c r="F34" s="6">
        <f>Data!D104</f>
        <v>0</v>
      </c>
      <c r="H34" s="6">
        <f>Data!D105</f>
        <v>0</v>
      </c>
      <c r="J34" s="74">
        <f>Wed!AB8</f>
        <v>0</v>
      </c>
      <c r="K34" s="59"/>
      <c r="M34" s="6">
        <f>Wed!AB9</f>
        <v>0</v>
      </c>
      <c r="P34" s="67">
        <f>Wed!AB12</f>
        <v>11.449999999999998</v>
      </c>
    </row>
    <row r="35" spans="2:16">
      <c r="B35" s="23" t="s">
        <v>66</v>
      </c>
      <c r="C35" s="59"/>
      <c r="D35" s="54">
        <f>Data!E103</f>
        <v>0</v>
      </c>
      <c r="F35" s="6">
        <f>Data!E104</f>
        <v>0</v>
      </c>
      <c r="H35" s="6">
        <f>Data!E105</f>
        <v>0</v>
      </c>
      <c r="J35" s="74">
        <f>Thurs!AB8</f>
        <v>0</v>
      </c>
      <c r="K35" s="59"/>
      <c r="M35" s="6">
        <f>Thurs!AB9</f>
        <v>0</v>
      </c>
      <c r="P35" s="67">
        <f>Thurs!AB12</f>
        <v>11.449999999999998</v>
      </c>
    </row>
    <row r="36" spans="2:16">
      <c r="B36" s="23" t="s">
        <v>67</v>
      </c>
      <c r="C36" s="59"/>
      <c r="D36" s="54">
        <f>Data!F103</f>
        <v>0</v>
      </c>
      <c r="F36" s="6">
        <f>Data!F104</f>
        <v>0</v>
      </c>
      <c r="H36" s="6">
        <f>Data!F105</f>
        <v>0</v>
      </c>
      <c r="J36" s="74">
        <f>' Fri '!AB8</f>
        <v>0</v>
      </c>
      <c r="K36" s="59"/>
      <c r="M36" s="6">
        <f>' Fri '!AB9</f>
        <v>0</v>
      </c>
      <c r="P36" s="67">
        <f>' Fri '!AB12</f>
        <v>11.449999999999998</v>
      </c>
    </row>
    <row r="37" spans="2:16">
      <c r="C37" s="60"/>
      <c r="D37" s="60"/>
    </row>
    <row r="38" spans="2:16">
      <c r="D38" s="54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 enableFormatConditionsCalculation="0">
    <tabColor indexed="43"/>
    <pageSetUpPr fitToPage="1"/>
  </sheetPr>
  <dimension ref="B1:X30"/>
  <sheetViews>
    <sheetView showGridLines="0" workbookViewId="0">
      <selection activeCell="B31" sqref="B31"/>
    </sheetView>
  </sheetViews>
  <sheetFormatPr defaultRowHeight="12.75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16384" width="9.140625" style="6"/>
  </cols>
  <sheetData>
    <row r="1" spans="2:24" ht="6" customHeight="1"/>
    <row r="2" spans="2:24" ht="21" thickBot="1">
      <c r="B2" s="32" t="s">
        <v>41</v>
      </c>
      <c r="C2" s="32"/>
      <c r="D2" s="32"/>
      <c r="E2" s="32"/>
      <c r="F2" s="32"/>
      <c r="G2" s="32"/>
      <c r="H2" s="32"/>
      <c r="I2" s="40">
        <f>Data!B111</f>
        <v>0</v>
      </c>
    </row>
    <row r="3" spans="2:24" ht="16.5" thickTop="1">
      <c r="B3" s="39">
        <f>Mon!B2:I2</f>
        <v>40238</v>
      </c>
      <c r="C3" s="38" t="s">
        <v>42</v>
      </c>
      <c r="D3" s="37">
        <f>B3+4</f>
        <v>40242</v>
      </c>
      <c r="E3" s="36"/>
    </row>
    <row r="4" spans="2:24" ht="12.75" customHeight="1"/>
    <row r="5" spans="2:24" ht="20.25" customHeight="1"/>
    <row r="6" spans="2:24">
      <c r="B6"/>
      <c r="C6"/>
      <c r="D6"/>
      <c r="E6"/>
      <c r="F6"/>
      <c r="G6"/>
      <c r="H6"/>
      <c r="I6" s="95"/>
      <c r="J6" s="94"/>
      <c r="K6" s="94"/>
      <c r="L6" s="94"/>
      <c r="M6" s="94"/>
      <c r="N6" s="94"/>
      <c r="O6" s="94"/>
      <c r="P6"/>
      <c r="Q6"/>
      <c r="R6"/>
      <c r="S6"/>
      <c r="T6"/>
      <c r="U6"/>
      <c r="V6"/>
      <c r="W6"/>
      <c r="X6"/>
    </row>
    <row r="7" spans="2:2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>
      <c r="D30" s="77" t="s">
        <v>92</v>
      </c>
      <c r="E30" s="23"/>
      <c r="F30" s="81" t="s">
        <v>93</v>
      </c>
      <c r="H30" s="23"/>
      <c r="I30" s="23"/>
      <c r="J30" s="78" t="s">
        <v>96</v>
      </c>
      <c r="N30" s="80" t="s">
        <v>95</v>
      </c>
      <c r="R30" s="79" t="s">
        <v>94</v>
      </c>
    </row>
  </sheetData>
  <mergeCells count="1">
    <mergeCell ref="I6:O6"/>
  </mergeCells>
  <phoneticPr fontId="3" type="noConversion"/>
  <pageMargins left="0.75" right="0.75" top="1" bottom="1" header="0.5" footer="0.5"/>
  <pageSetup scale="83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 enableFormatConditionsCalculation="0">
    <tabColor indexed="43"/>
    <pageSetUpPr fitToPage="1"/>
  </sheetPr>
  <dimension ref="B1:X33"/>
  <sheetViews>
    <sheetView showGridLines="0" workbookViewId="0"/>
  </sheetViews>
  <sheetFormatPr defaultRowHeight="12.75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16384" width="9.140625" style="6"/>
  </cols>
  <sheetData>
    <row r="1" spans="2:24" ht="6" customHeight="1"/>
    <row r="2" spans="2:24" ht="21" thickBot="1">
      <c r="B2" s="32" t="s">
        <v>43</v>
      </c>
      <c r="C2" s="32"/>
      <c r="D2" s="32"/>
      <c r="E2" s="32"/>
      <c r="F2" s="32"/>
      <c r="G2" s="32"/>
      <c r="H2" s="32"/>
      <c r="I2" s="40">
        <f>Data!C111</f>
        <v>0</v>
      </c>
    </row>
    <row r="3" spans="2:24" ht="16.5" thickTop="1">
      <c r="B3" s="39">
        <f>Sat!B2:I2</f>
        <v>40243</v>
      </c>
      <c r="C3" s="38" t="s">
        <v>42</v>
      </c>
      <c r="D3" s="37">
        <f>B3+1</f>
        <v>40244</v>
      </c>
      <c r="E3" s="36"/>
    </row>
    <row r="4" spans="2:24" ht="12.75" customHeight="1"/>
    <row r="5" spans="2:24" ht="20.25">
      <c r="J5" s="47" t="s">
        <v>45</v>
      </c>
    </row>
    <row r="6" spans="2:24">
      <c r="B6"/>
      <c r="C6"/>
      <c r="D6"/>
      <c r="E6"/>
      <c r="F6"/>
      <c r="G6"/>
      <c r="H6"/>
      <c r="I6" s="95"/>
      <c r="J6" s="94"/>
      <c r="K6" s="94"/>
      <c r="L6" s="94"/>
      <c r="M6" s="94"/>
      <c r="N6" s="94"/>
      <c r="O6" s="94"/>
      <c r="P6"/>
      <c r="Q6"/>
      <c r="R6"/>
      <c r="S6"/>
      <c r="T6"/>
      <c r="U6"/>
      <c r="V6"/>
      <c r="W6"/>
      <c r="X6"/>
    </row>
    <row r="7" spans="2:2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>
      <c r="B30" s="28"/>
    </row>
    <row r="31" spans="2:24">
      <c r="B31" s="56"/>
      <c r="C31" s="58"/>
      <c r="D31" s="55" t="s">
        <v>38</v>
      </c>
      <c r="E31" s="56"/>
      <c r="F31" s="55" t="s">
        <v>61</v>
      </c>
      <c r="G31" s="56"/>
      <c r="H31" s="55" t="s">
        <v>60</v>
      </c>
      <c r="I31" s="56"/>
      <c r="J31" s="55" t="s">
        <v>83</v>
      </c>
      <c r="K31" s="58"/>
    </row>
    <row r="32" spans="2:24">
      <c r="B32" s="23" t="s">
        <v>68</v>
      </c>
      <c r="C32" s="59"/>
      <c r="D32" s="54">
        <f>Data!G103</f>
        <v>0</v>
      </c>
      <c r="F32" s="6">
        <f>Data!G104</f>
        <v>0</v>
      </c>
      <c r="H32" s="6">
        <f>Data!G105</f>
        <v>0</v>
      </c>
      <c r="J32" s="6">
        <f>Sat!AB8</f>
        <v>0</v>
      </c>
      <c r="K32" s="59"/>
    </row>
    <row r="33" spans="2:11">
      <c r="B33" s="23" t="s">
        <v>69</v>
      </c>
      <c r="C33" s="59"/>
      <c r="D33" s="54">
        <f>Data!H103</f>
        <v>0</v>
      </c>
      <c r="F33" s="6">
        <f>Data!H104</f>
        <v>0</v>
      </c>
      <c r="H33" s="6">
        <f>Data!H105</f>
        <v>0</v>
      </c>
      <c r="J33" s="6">
        <f>Sun!AB8</f>
        <v>0</v>
      </c>
      <c r="K33" s="59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indexed="43"/>
    <pageSetUpPr fitToPage="1"/>
  </sheetPr>
  <dimension ref="B1:X38"/>
  <sheetViews>
    <sheetView showGridLines="0" workbookViewId="0"/>
  </sheetViews>
  <sheetFormatPr defaultRowHeight="12.75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16384" width="9.140625" style="6"/>
  </cols>
  <sheetData>
    <row r="1" spans="2:24" ht="6" customHeight="1"/>
    <row r="2" spans="2:24" ht="21" thickBot="1">
      <c r="B2" s="32" t="s">
        <v>44</v>
      </c>
      <c r="C2" s="32"/>
      <c r="D2" s="32"/>
      <c r="E2" s="32"/>
      <c r="F2" s="32"/>
      <c r="G2" s="32"/>
      <c r="H2" s="32"/>
      <c r="I2" s="40">
        <f>Data!D111</f>
        <v>0</v>
      </c>
    </row>
    <row r="3" spans="2:24" ht="16.5" thickTop="1">
      <c r="B3" s="39">
        <f>Mon!B2:I2</f>
        <v>40238</v>
      </c>
      <c r="C3" s="38" t="s">
        <v>42</v>
      </c>
      <c r="D3" s="37">
        <f>B3+6</f>
        <v>40244</v>
      </c>
      <c r="E3" s="36"/>
    </row>
    <row r="4" spans="2:24" ht="12.75" customHeight="1"/>
    <row r="5" spans="2:24" ht="20.25">
      <c r="J5" s="47" t="s">
        <v>45</v>
      </c>
    </row>
    <row r="6" spans="2:24">
      <c r="B6"/>
      <c r="C6"/>
      <c r="D6"/>
      <c r="E6"/>
      <c r="F6"/>
      <c r="G6"/>
      <c r="H6"/>
      <c r="I6" s="95"/>
      <c r="J6" s="94"/>
      <c r="K6" s="94"/>
      <c r="L6" s="94"/>
      <c r="M6" s="94"/>
      <c r="N6" s="94"/>
      <c r="O6" s="94"/>
      <c r="P6"/>
      <c r="Q6"/>
      <c r="R6"/>
      <c r="S6"/>
      <c r="T6"/>
      <c r="U6"/>
      <c r="V6"/>
      <c r="W6"/>
      <c r="X6"/>
    </row>
    <row r="7" spans="2:2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>
      <c r="B30" s="28"/>
    </row>
    <row r="31" spans="2:24">
      <c r="B31" s="56"/>
      <c r="C31" s="58"/>
      <c r="D31" s="55" t="s">
        <v>38</v>
      </c>
      <c r="E31" s="56"/>
      <c r="F31" s="55" t="s">
        <v>61</v>
      </c>
      <c r="G31" s="57"/>
      <c r="H31" s="55" t="s">
        <v>60</v>
      </c>
      <c r="I31" s="57"/>
      <c r="J31" s="55" t="s">
        <v>83</v>
      </c>
      <c r="K31" s="58"/>
    </row>
    <row r="32" spans="2:24">
      <c r="B32" s="23" t="s">
        <v>63</v>
      </c>
      <c r="C32" s="59"/>
      <c r="D32" s="54">
        <f>Data!B103</f>
        <v>0</v>
      </c>
      <c r="F32" s="6">
        <f>Data!B104</f>
        <v>0</v>
      </c>
      <c r="H32" s="6">
        <f>Data!B105</f>
        <v>0</v>
      </c>
      <c r="J32" s="74">
        <f>Mon!AB8</f>
        <v>0</v>
      </c>
      <c r="K32" s="59"/>
    </row>
    <row r="33" spans="2:11">
      <c r="B33" s="23" t="s">
        <v>64</v>
      </c>
      <c r="C33" s="59"/>
      <c r="D33" s="54">
        <f>Data!C103</f>
        <v>0</v>
      </c>
      <c r="F33" s="6">
        <f>Data!C104</f>
        <v>0</v>
      </c>
      <c r="H33" s="6">
        <f>Data!C105</f>
        <v>0</v>
      </c>
      <c r="J33" s="74">
        <f>Tues!AB8</f>
        <v>0</v>
      </c>
      <c r="K33" s="59"/>
    </row>
    <row r="34" spans="2:11">
      <c r="B34" s="23" t="s">
        <v>65</v>
      </c>
      <c r="C34" s="59"/>
      <c r="D34" s="54">
        <f>Data!D103</f>
        <v>0</v>
      </c>
      <c r="F34" s="6">
        <f>Data!D104</f>
        <v>0</v>
      </c>
      <c r="H34" s="6">
        <f>Data!D105</f>
        <v>0</v>
      </c>
      <c r="J34" s="74">
        <f>Wed!AB8</f>
        <v>0</v>
      </c>
      <c r="K34" s="59"/>
    </row>
    <row r="35" spans="2:11">
      <c r="B35" s="23" t="s">
        <v>66</v>
      </c>
      <c r="C35" s="59"/>
      <c r="D35" s="54">
        <f>Data!E103</f>
        <v>0</v>
      </c>
      <c r="F35" s="6">
        <f>Data!E104</f>
        <v>0</v>
      </c>
      <c r="H35" s="6">
        <f>Data!E105</f>
        <v>0</v>
      </c>
      <c r="J35" s="74">
        <f>Thurs!AB8</f>
        <v>0</v>
      </c>
      <c r="K35" s="59"/>
    </row>
    <row r="36" spans="2:11">
      <c r="B36" s="23" t="s">
        <v>67</v>
      </c>
      <c r="C36" s="59"/>
      <c r="D36" s="54">
        <f>Data!F103</f>
        <v>0</v>
      </c>
      <c r="F36" s="6">
        <f>Data!F104</f>
        <v>0</v>
      </c>
      <c r="H36" s="6">
        <f>Data!F105</f>
        <v>0</v>
      </c>
      <c r="J36" s="74">
        <f>' Fri '!AB8</f>
        <v>0</v>
      </c>
      <c r="K36" s="59"/>
    </row>
    <row r="37" spans="2:11">
      <c r="B37" s="23" t="s">
        <v>68</v>
      </c>
      <c r="C37" s="59"/>
      <c r="D37" s="54">
        <f>Data!G103</f>
        <v>0</v>
      </c>
      <c r="F37" s="6">
        <f>Data!G104</f>
        <v>0</v>
      </c>
      <c r="H37" s="6">
        <f>Data!G105</f>
        <v>0</v>
      </c>
      <c r="J37" s="67">
        <f>Sat!AB8</f>
        <v>0</v>
      </c>
      <c r="K37" s="59"/>
    </row>
    <row r="38" spans="2:11">
      <c r="B38" s="23" t="s">
        <v>69</v>
      </c>
      <c r="C38" s="59"/>
      <c r="D38" s="54">
        <f>Data!H103</f>
        <v>0</v>
      </c>
      <c r="F38" s="6">
        <f>Data!H104</f>
        <v>0</v>
      </c>
      <c r="H38" s="6">
        <f>Data!H105</f>
        <v>0</v>
      </c>
      <c r="J38" s="67">
        <f>Sun!AB8</f>
        <v>0</v>
      </c>
      <c r="K38" s="59"/>
    </row>
  </sheetData>
  <mergeCells count="1">
    <mergeCell ref="I6:O6"/>
  </mergeCells>
  <phoneticPr fontId="3" type="noConversion"/>
  <pageMargins left="0.75" right="0.75" top="1" bottom="1" header="0.5" footer="0.5"/>
  <pageSetup scale="83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4" enableFormatConditionsCalculation="0">
    <tabColor indexed="43"/>
    <pageSetUpPr fitToPage="1"/>
  </sheetPr>
  <dimension ref="B1:X32"/>
  <sheetViews>
    <sheetView showGridLines="0" workbookViewId="0">
      <selection activeCell="M35" sqref="M35"/>
    </sheetView>
  </sheetViews>
  <sheetFormatPr defaultRowHeight="12.75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27" width="4.7109375" style="6" customWidth="1"/>
    <col min="28" max="16384" width="9.140625" style="6"/>
  </cols>
  <sheetData>
    <row r="1" spans="2:24" ht="6" customHeight="1"/>
    <row r="2" spans="2:24" ht="21" thickBot="1">
      <c r="B2" s="32" t="s">
        <v>44</v>
      </c>
      <c r="C2" s="32"/>
      <c r="D2" s="32"/>
      <c r="E2" s="32"/>
      <c r="F2" s="32"/>
      <c r="G2" s="32"/>
      <c r="H2" s="32"/>
      <c r="I2" s="40">
        <f>Data!D111</f>
        <v>0</v>
      </c>
    </row>
    <row r="3" spans="2:24" ht="16.5" thickTop="1">
      <c r="B3" s="39">
        <f>Mon!B2:I2</f>
        <v>40238</v>
      </c>
      <c r="C3" s="38" t="s">
        <v>42</v>
      </c>
      <c r="D3" s="37">
        <f>B3+6</f>
        <v>40244</v>
      </c>
      <c r="E3" s="36"/>
    </row>
    <row r="4" spans="2:24" ht="12.75" customHeight="1"/>
    <row r="5" spans="2:24" ht="20.25">
      <c r="C5" s="23" t="s">
        <v>63</v>
      </c>
      <c r="F5" s="23" t="s">
        <v>64</v>
      </c>
      <c r="I5" s="23" t="s">
        <v>65</v>
      </c>
      <c r="J5" s="47"/>
      <c r="L5" s="23" t="s">
        <v>66</v>
      </c>
      <c r="O5" s="23" t="s">
        <v>67</v>
      </c>
      <c r="R5" s="23" t="s">
        <v>68</v>
      </c>
      <c r="U5" s="23" t="s">
        <v>69</v>
      </c>
    </row>
    <row r="6" spans="2:24">
      <c r="B6"/>
      <c r="C6"/>
      <c r="D6"/>
      <c r="E6"/>
      <c r="F6"/>
      <c r="G6"/>
      <c r="H6"/>
      <c r="I6" s="95"/>
      <c r="J6" s="94"/>
      <c r="K6" s="94"/>
      <c r="L6" s="94"/>
      <c r="M6" s="94"/>
      <c r="N6" s="94"/>
      <c r="O6" s="94"/>
      <c r="P6"/>
      <c r="Q6"/>
      <c r="R6"/>
      <c r="S6"/>
      <c r="T6"/>
      <c r="U6"/>
      <c r="V6"/>
      <c r="W6"/>
      <c r="X6"/>
    </row>
    <row r="7" spans="2:24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>
      <c r="B30" s="28"/>
    </row>
    <row r="31" spans="2:24">
      <c r="C31" s="60"/>
      <c r="D31" s="60"/>
    </row>
    <row r="32" spans="2:24">
      <c r="D32" s="54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 enableFormatConditionsCalculation="0">
    <tabColor indexed="42"/>
  </sheetPr>
  <dimension ref="A1:X79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X2" sqref="X2:X25"/>
    </sheetView>
  </sheetViews>
  <sheetFormatPr defaultRowHeight="12.75"/>
  <cols>
    <col min="1" max="1" width="11.5703125" style="9" customWidth="1"/>
    <col min="2" max="8" width="13.85546875" style="9" bestFit="1" customWidth="1"/>
    <col min="9" max="9" width="2.5703125" style="9" customWidth="1"/>
    <col min="10" max="12" width="9.42578125" style="9" bestFit="1" customWidth="1"/>
    <col min="13" max="13" width="11.5703125" style="9" bestFit="1" customWidth="1"/>
    <col min="14" max="14" width="19" style="9" bestFit="1" customWidth="1"/>
    <col min="15" max="15" width="19.140625" style="9" bestFit="1" customWidth="1"/>
    <col min="16" max="16" width="15.5703125" style="9" bestFit="1" customWidth="1"/>
    <col min="17" max="17" width="9.140625" style="9"/>
    <col min="18" max="18" width="11.5703125" style="9" customWidth="1"/>
    <col min="22" max="22" width="9.140625" style="9"/>
    <col min="23" max="23" width="11.5703125" style="9" bestFit="1" customWidth="1"/>
    <col min="24" max="16384" width="9.140625" style="9"/>
  </cols>
  <sheetData>
    <row r="1" spans="1:24">
      <c r="A1" s="14" t="s">
        <v>29</v>
      </c>
      <c r="B1" s="13">
        <f>Mon!B2</f>
        <v>40238</v>
      </c>
      <c r="C1" s="13">
        <f>Tues!B2</f>
        <v>40239</v>
      </c>
      <c r="D1" s="13">
        <f>Wed!B2</f>
        <v>40240</v>
      </c>
      <c r="E1" s="13">
        <f>Thurs!B2</f>
        <v>40241</v>
      </c>
      <c r="F1" s="13">
        <f>' Fri '!B2</f>
        <v>40242</v>
      </c>
      <c r="G1" s="13">
        <f>Sat!B2</f>
        <v>40243</v>
      </c>
      <c r="H1" s="13">
        <f>Sun!B2</f>
        <v>40244</v>
      </c>
      <c r="I1" s="13"/>
      <c r="J1" s="12" t="s">
        <v>30</v>
      </c>
      <c r="M1" s="14" t="s">
        <v>29</v>
      </c>
      <c r="N1" s="16" t="s">
        <v>31</v>
      </c>
      <c r="O1" s="16" t="s">
        <v>32</v>
      </c>
      <c r="P1" s="16" t="s">
        <v>33</v>
      </c>
      <c r="Q1" s="11"/>
      <c r="R1" s="102" t="s">
        <v>97</v>
      </c>
      <c r="S1" s="102"/>
      <c r="T1" s="102"/>
      <c r="U1" s="102"/>
      <c r="W1" s="102" t="s">
        <v>98</v>
      </c>
      <c r="X1" s="102"/>
    </row>
    <row r="2" spans="1:24">
      <c r="A2" s="10">
        <v>0.25</v>
      </c>
      <c r="B2" s="9" t="e">
        <f>IF(Mon!C5&gt;0,Mon!C5, NA())</f>
        <v>#N/A</v>
      </c>
      <c r="C2" s="9" t="e">
        <f>IF(Tues!C5&gt;0,Tues!C5, NA())</f>
        <v>#N/A</v>
      </c>
      <c r="D2" s="9" t="e">
        <f>IF(Wed!C5&gt;0,Wed!C5, NA())</f>
        <v>#N/A</v>
      </c>
      <c r="E2" s="9" t="e">
        <f>IF(Thurs!C5&gt;0,Thurs!C5, NA())</f>
        <v>#N/A</v>
      </c>
      <c r="F2" s="9" t="e">
        <f>IF(' Fri '!C5&gt;0,' Fri '!C5, NA())</f>
        <v>#N/A</v>
      </c>
      <c r="G2" s="9" t="e">
        <f>IF(Sat!C5&gt;0,Sat!C5, NA())</f>
        <v>#N/A</v>
      </c>
      <c r="H2" s="9" t="e">
        <f>IF(Sun!C5&gt;0,Sun!C5, NA())</f>
        <v>#N/A</v>
      </c>
      <c r="J2" s="9">
        <v>300</v>
      </c>
      <c r="K2" s="9">
        <v>140</v>
      </c>
      <c r="L2" s="9">
        <v>80</v>
      </c>
      <c r="M2" s="10">
        <v>0.25</v>
      </c>
      <c r="N2" s="9" t="e">
        <f>IF(COUNTIF(B2:F2,"&gt;0")=0,#N/A, SUMIF(B2:F2,"&gt;0")/COUNTIF(B2:F2,"&gt;0"))</f>
        <v>#N/A</v>
      </c>
      <c r="O2" s="9" t="e">
        <f>IF(COUNTIF(G2:H2,"&gt;0")=0,#N/A, SUMIF(G2:H2,"&gt;0")/COUNTIF(G2:H2,"&gt;0"))</f>
        <v>#N/A</v>
      </c>
      <c r="P2" s="9" t="e">
        <f>IF(COUNTIF(B2:H2,"&gt;0")=0,#N/A, SUMIF(B2:H2,"&gt;0")/COUNTIF(B2:H2,"&gt;0"))</f>
        <v>#N/A</v>
      </c>
      <c r="R2" s="10">
        <v>0.25</v>
      </c>
      <c r="S2" s="31" t="e">
        <f>IF(COUNTIF(B2:F5,"&gt;0")&gt;0,(SUMIF(B2:F5,"&gt;0")/COUNTIF(B2:F5,"&gt;0")),NA())</f>
        <v>#N/A</v>
      </c>
      <c r="T2" s="31" t="e">
        <f>IF(COUNTIF(O2:O5,"&gt;0")&gt;0,(SUMIF(O2:O5,"&gt;0")/COUNTIF(O2:O5,"&gt;0")),NA())</f>
        <v>#N/A</v>
      </c>
      <c r="U2" s="31" t="e">
        <f>IF(COUNTIF(B2:H5,"&gt;0")&gt;0,(SUMIF(B2:H5,"&gt;0")/COUNTIF(B2:H5,"&gt;0")),NA())</f>
        <v>#N/A</v>
      </c>
      <c r="W2" s="10">
        <v>0.25</v>
      </c>
      <c r="X2" s="86">
        <v>0.65</v>
      </c>
    </row>
    <row r="3" spans="1:24">
      <c r="A3" s="10">
        <v>0.26041666666666669</v>
      </c>
      <c r="B3" s="9" t="e">
        <f>IF(Mon!C6&gt;0,Mon!C6, NA())</f>
        <v>#N/A</v>
      </c>
      <c r="C3" s="9" t="e">
        <f>IF(Tues!C6&gt;0,Tues!C6, NA())</f>
        <v>#N/A</v>
      </c>
      <c r="D3" s="9" t="e">
        <f>IF(Wed!C6&gt;0,Wed!C6, NA())</f>
        <v>#N/A</v>
      </c>
      <c r="E3" s="9" t="e">
        <f>IF(Thurs!C6&gt;0,Thurs!C6, NA())</f>
        <v>#N/A</v>
      </c>
      <c r="F3" s="9" t="e">
        <f>IF(' Fri '!C6&gt;0,' Fri '!C6, NA())</f>
        <v>#N/A</v>
      </c>
      <c r="G3" s="9" t="e">
        <f>IF(Sat!C6&gt;0,Sat!C6, NA())</f>
        <v>#N/A</v>
      </c>
      <c r="H3" s="9" t="e">
        <f>IF(Sun!C6&gt;0,Sun!C6, NA())</f>
        <v>#N/A</v>
      </c>
      <c r="J3" s="9">
        <v>300</v>
      </c>
      <c r="K3" s="9">
        <v>140</v>
      </c>
      <c r="L3" s="9">
        <v>80</v>
      </c>
      <c r="M3" s="10">
        <v>0.26041666666666669</v>
      </c>
      <c r="N3" s="9" t="e">
        <f t="shared" ref="N3:N66" si="0">IF(COUNTIF(B3:F3,"&gt;0")=0,#N/A, SUMIF(B3:F3,"&gt;0")/COUNTIF(B3:F3,"&gt;0"))</f>
        <v>#N/A</v>
      </c>
      <c r="O3" s="9" t="e">
        <f t="shared" ref="O3:O66" si="1">IF(COUNTIF(G3:H3,"&gt;0")=0,#N/A, SUMIF(G3:H3,"&gt;0")/COUNTIF(G3:H3,"&gt;0"))</f>
        <v>#N/A</v>
      </c>
      <c r="P3" s="9" t="e">
        <f t="shared" ref="P3:P66" si="2">IF(COUNTIF(B3:H3,"&gt;0")=0,#N/A, SUMIF(B3:H3,"&gt;0")/COUNTIF(B3:H3,"&gt;0"))</f>
        <v>#N/A</v>
      </c>
      <c r="R3" s="10">
        <v>0.29166666666666702</v>
      </c>
      <c r="S3" s="31" t="e">
        <f>IF(COUNTIF(B6:F9,"&gt;0")&gt;0,(SUMIF(B6:F9,"&gt;0")/COUNTIF(B6:F9,"&gt;0")),NA())</f>
        <v>#N/A</v>
      </c>
      <c r="T3" s="31" t="e">
        <f>IF(COUNTIF(O6:O9,"&gt;0")&gt;0,(SUMIF(O6:O9,"&gt;0")/COUNTIF(O6:O9,"&gt;0")),NA())</f>
        <v>#N/A</v>
      </c>
      <c r="U3" s="31" t="e">
        <f>IF(COUNTIF(B6:H9,"&gt;0")&gt;0,(SUMIF(B6:H9,"&gt;0")/COUNTIF(B6:H9,"&gt;0")),NA())</f>
        <v>#N/A</v>
      </c>
      <c r="W3" s="10">
        <v>0.29166666666666702</v>
      </c>
      <c r="X3" s="86">
        <v>0.65</v>
      </c>
    </row>
    <row r="4" spans="1:24">
      <c r="A4" s="10">
        <v>0.27083333333333331</v>
      </c>
      <c r="B4" s="9" t="e">
        <f>IF(Mon!C7&gt;0,Mon!C7, NA())</f>
        <v>#N/A</v>
      </c>
      <c r="C4" s="9" t="e">
        <f>IF(Tues!C7&gt;0,Tues!C7, NA())</f>
        <v>#N/A</v>
      </c>
      <c r="D4" s="9" t="e">
        <f>IF(Wed!C7&gt;0,Wed!C7, NA())</f>
        <v>#N/A</v>
      </c>
      <c r="E4" s="9" t="e">
        <f>IF(Thurs!C7&gt;0,Thurs!C7, NA())</f>
        <v>#N/A</v>
      </c>
      <c r="F4" s="9" t="e">
        <f>IF(' Fri '!C7&gt;0,' Fri '!C7, NA())</f>
        <v>#N/A</v>
      </c>
      <c r="G4" s="9" t="e">
        <f>IF(Sat!C7&gt;0,Sat!C7, NA())</f>
        <v>#N/A</v>
      </c>
      <c r="H4" s="9" t="e">
        <f>IF(Sun!C7&gt;0,Sun!C7, NA())</f>
        <v>#N/A</v>
      </c>
      <c r="J4" s="9">
        <v>300</v>
      </c>
      <c r="K4" s="9">
        <v>140</v>
      </c>
      <c r="L4" s="9">
        <v>80</v>
      </c>
      <c r="M4" s="10">
        <v>0.27083333333333331</v>
      </c>
      <c r="N4" s="9" t="e">
        <f t="shared" si="0"/>
        <v>#N/A</v>
      </c>
      <c r="O4" s="9" t="e">
        <f t="shared" si="1"/>
        <v>#N/A</v>
      </c>
      <c r="P4" s="9" t="e">
        <f t="shared" si="2"/>
        <v>#N/A</v>
      </c>
      <c r="R4" s="10">
        <v>0.33333333333333398</v>
      </c>
      <c r="S4" s="31" t="e">
        <f>IF(COUNTIF(B10:F13,"&gt;0")&gt;0,(SUMIF(B10:F13,"&gt;0")/COUNTIF(B10:F13,"&gt;0")),NA())</f>
        <v>#N/A</v>
      </c>
      <c r="T4" s="31" t="e">
        <f>IF(COUNTIF(O10:O13,"&gt;0")&gt;0,(SUMIF(O10:O13,"&gt;0")/COUNTIF(O10:O13,"&gt;0")),NA())</f>
        <v>#N/A</v>
      </c>
      <c r="U4" s="31" t="e">
        <f>IF(COUNTIF(B10:H13,"&gt;0")&gt;0,(SUMIF(B10:H13,"&gt;0")/COUNTIF(B10:H13,"&gt;0")),NA())</f>
        <v>#N/A</v>
      </c>
      <c r="W4" s="10">
        <v>0.33333333333333398</v>
      </c>
      <c r="X4" s="86">
        <v>0.65</v>
      </c>
    </row>
    <row r="5" spans="1:24">
      <c r="A5" s="10">
        <v>0.28125</v>
      </c>
      <c r="B5" s="9" t="e">
        <f>IF(Mon!C8&gt;0,Mon!C8, NA())</f>
        <v>#N/A</v>
      </c>
      <c r="C5" s="9" t="e">
        <f>IF(Tues!C8&gt;0,Tues!C8, NA())</f>
        <v>#N/A</v>
      </c>
      <c r="D5" s="9" t="e">
        <f>IF(Wed!C8&gt;0,Wed!C8, NA())</f>
        <v>#N/A</v>
      </c>
      <c r="E5" s="9" t="e">
        <f>IF(Thurs!C8&gt;0,Thurs!C8, NA())</f>
        <v>#N/A</v>
      </c>
      <c r="F5" s="9" t="e">
        <f>IF(' Fri '!C8&gt;0,' Fri '!C8, NA())</f>
        <v>#N/A</v>
      </c>
      <c r="G5" s="9" t="e">
        <f>IF(Sat!C8&gt;0,Sat!C8, NA())</f>
        <v>#N/A</v>
      </c>
      <c r="H5" s="9" t="e">
        <f>IF(Sun!C8&gt;0,Sun!C8, NA())</f>
        <v>#N/A</v>
      </c>
      <c r="J5" s="9">
        <v>300</v>
      </c>
      <c r="K5" s="9">
        <v>140</v>
      </c>
      <c r="L5" s="9">
        <v>80</v>
      </c>
      <c r="M5" s="10">
        <v>0.28125</v>
      </c>
      <c r="N5" s="9" t="e">
        <f t="shared" si="0"/>
        <v>#N/A</v>
      </c>
      <c r="O5" s="9" t="e">
        <f t="shared" si="1"/>
        <v>#N/A</v>
      </c>
      <c r="P5" s="9" t="e">
        <f t="shared" si="2"/>
        <v>#N/A</v>
      </c>
      <c r="R5" s="10">
        <v>0.375000000000001</v>
      </c>
      <c r="S5" s="31" t="e">
        <f>IF(COUNTIF(B14:F17,"&gt;0")&gt;0,(SUMIF(B14:F17,"&gt;0")/COUNTIF(B14:F17,"&gt;0")),NA())</f>
        <v>#N/A</v>
      </c>
      <c r="T5" s="31" t="e">
        <f>IF(COUNTIF(O14:O17,"&gt;0")&gt;0,(SUMIF(O14:O17,"&gt;0")/COUNTIF(O14:O17,"&gt;0")),NA())</f>
        <v>#N/A</v>
      </c>
      <c r="U5" s="31" t="e">
        <f>IF(COUNTIF(B14:H17,"&gt;0")&gt;0,(SUMIF(B14:H17,"&gt;0")/COUNTIF(B14:H17,"&gt;0")),NA())</f>
        <v>#N/A</v>
      </c>
      <c r="W5" s="10">
        <v>0.375000000000001</v>
      </c>
      <c r="X5" s="86">
        <v>0.4</v>
      </c>
    </row>
    <row r="6" spans="1:24">
      <c r="A6" s="10">
        <v>0.29166666666666702</v>
      </c>
      <c r="B6" s="9" t="e">
        <f>IF(Mon!D5&gt;0,Mon!D5,NA())</f>
        <v>#N/A</v>
      </c>
      <c r="C6" s="9" t="e">
        <f>IF(Tues!D5&gt;0,Tues!D5,NA())</f>
        <v>#N/A</v>
      </c>
      <c r="D6" s="9" t="e">
        <f>IF(Wed!D5&gt;0,Wed!D5,NA())</f>
        <v>#N/A</v>
      </c>
      <c r="E6" s="9" t="e">
        <f>IF(Thurs!D5&gt;0,Thurs!D5,NA())</f>
        <v>#N/A</v>
      </c>
      <c r="F6" s="9" t="e">
        <f>IF(' Fri '!D5&gt;0,' Fri '!D5,NA())</f>
        <v>#N/A</v>
      </c>
      <c r="G6" s="9" t="e">
        <f>IF(Sat!D5&gt;0,Sat!D5,NA())</f>
        <v>#N/A</v>
      </c>
      <c r="H6" s="9" t="e">
        <f>IF(Sun!D5&gt;0,Sun!D5,NA())</f>
        <v>#N/A</v>
      </c>
      <c r="J6" s="9">
        <v>300</v>
      </c>
      <c r="K6" s="9">
        <v>140</v>
      </c>
      <c r="L6" s="9">
        <v>80</v>
      </c>
      <c r="M6" s="10">
        <v>0.29166666666666702</v>
      </c>
      <c r="N6" s="9" t="e">
        <f t="shared" si="0"/>
        <v>#N/A</v>
      </c>
      <c r="O6" s="9" t="e">
        <f t="shared" si="1"/>
        <v>#N/A</v>
      </c>
      <c r="P6" s="9" t="e">
        <f t="shared" si="2"/>
        <v>#N/A</v>
      </c>
      <c r="R6" s="10">
        <v>0.41666666666666802</v>
      </c>
      <c r="S6" s="31" t="e">
        <f>IF(COUNTIF(B18:F21,"&gt;0")&gt;0,(SUMIF(B18:F21,"&gt;0")/COUNTIF(B18:F21,"&gt;0")),NA())</f>
        <v>#N/A</v>
      </c>
      <c r="T6" s="31" t="e">
        <f>IF(COUNTIF(O18:O21,"&gt;0")&gt;0,(SUMIF(O18:O21,"&gt;0")/COUNTIF(O18:O21,"&gt;0")),NA())</f>
        <v>#N/A</v>
      </c>
      <c r="U6" s="31" t="e">
        <f>IF(COUNTIF(B18:H21,"&gt;0")&gt;0,(SUMIF(B18:H21,"&gt;0")/COUNTIF(B18:H21,"&gt;0")),NA())</f>
        <v>#N/A</v>
      </c>
      <c r="W6" s="10">
        <v>0.41666666666666802</v>
      </c>
      <c r="X6" s="86">
        <v>0.4</v>
      </c>
    </row>
    <row r="7" spans="1:24">
      <c r="A7" s="10">
        <v>0.30208333333333298</v>
      </c>
      <c r="B7" s="9" t="e">
        <f>IF(Mon!D6&gt;0,Mon!D6,NA())</f>
        <v>#N/A</v>
      </c>
      <c r="C7" s="9" t="e">
        <f>IF(Tues!D6&gt;0,Tues!D6,NA())</f>
        <v>#N/A</v>
      </c>
      <c r="D7" s="9" t="e">
        <f>IF(Wed!D6&gt;0,Wed!D6,NA())</f>
        <v>#N/A</v>
      </c>
      <c r="E7" s="9" t="e">
        <f>IF(Thurs!D6&gt;0,Thurs!D6,NA())</f>
        <v>#N/A</v>
      </c>
      <c r="F7" s="9" t="e">
        <f>IF(' Fri '!D6&gt;0,' Fri '!D6,NA())</f>
        <v>#N/A</v>
      </c>
      <c r="G7" s="9" t="e">
        <f>IF(Sat!D6&gt;0,Sat!D6,NA())</f>
        <v>#N/A</v>
      </c>
      <c r="H7" s="9" t="e">
        <f>IF(Sun!D6&gt;0,Sun!D6,NA())</f>
        <v>#N/A</v>
      </c>
      <c r="J7" s="9">
        <v>300</v>
      </c>
      <c r="K7" s="9">
        <v>140</v>
      </c>
      <c r="L7" s="9">
        <v>80</v>
      </c>
      <c r="M7" s="10">
        <v>0.30208333333333298</v>
      </c>
      <c r="N7" s="9" t="e">
        <f t="shared" si="0"/>
        <v>#N/A</v>
      </c>
      <c r="O7" s="9" t="e">
        <f t="shared" si="1"/>
        <v>#N/A</v>
      </c>
      <c r="P7" s="9" t="e">
        <f t="shared" si="2"/>
        <v>#N/A</v>
      </c>
      <c r="R7" s="10">
        <v>0.45833333333333498</v>
      </c>
      <c r="S7" s="31" t="e">
        <f>IF(COUNTIF(B22:F25,"&gt;0")&gt;0,(SUMIF(B22:F25,"&gt;0")/COUNTIF(B22:F25,"&gt;0")),NA())</f>
        <v>#N/A</v>
      </c>
      <c r="T7" s="31" t="e">
        <f>IF(COUNTIF(O22:O25,"&gt;0")&gt;0,(SUMIF(O22:O25,"&gt;0")/COUNTIF(O22:O25,"&gt;0")),NA())</f>
        <v>#N/A</v>
      </c>
      <c r="U7" s="31" t="e">
        <f>IF(COUNTIF(B22:H25,"&gt;0")&gt;0,(SUMIF(B22:H25,"&gt;0")/COUNTIF(B22:H25,"&gt;0")),NA())</f>
        <v>#N/A</v>
      </c>
      <c r="W7" s="10">
        <v>0.45833333333333498</v>
      </c>
      <c r="X7" s="86">
        <v>0.3</v>
      </c>
    </row>
    <row r="8" spans="1:24">
      <c r="A8" s="10">
        <v>0.3125</v>
      </c>
      <c r="B8" s="9" t="e">
        <f>IF(Mon!D7&gt;0,Mon!D7,NA())</f>
        <v>#N/A</v>
      </c>
      <c r="C8" s="9" t="e">
        <f>IF(Tues!D7&gt;0,Tues!D7,NA())</f>
        <v>#N/A</v>
      </c>
      <c r="D8" s="9" t="e">
        <f>IF(Wed!D7&gt;0,Wed!D7,NA())</f>
        <v>#N/A</v>
      </c>
      <c r="E8" s="9" t="e">
        <f>IF(Thurs!D7&gt;0,Thurs!D7,NA())</f>
        <v>#N/A</v>
      </c>
      <c r="F8" s="9" t="e">
        <f>IF(' Fri '!D7&gt;0,' Fri '!D7,NA())</f>
        <v>#N/A</v>
      </c>
      <c r="G8" s="9" t="e">
        <f>IF(Sat!D7&gt;0,Sat!D7,NA())</f>
        <v>#N/A</v>
      </c>
      <c r="H8" s="9" t="e">
        <f>IF(Sun!D7&gt;0,Sun!D7,NA())</f>
        <v>#N/A</v>
      </c>
      <c r="J8" s="9">
        <v>300</v>
      </c>
      <c r="K8" s="9">
        <v>140</v>
      </c>
      <c r="L8" s="9">
        <v>80</v>
      </c>
      <c r="M8" s="10">
        <v>0.3125</v>
      </c>
      <c r="N8" s="9" t="e">
        <f t="shared" si="0"/>
        <v>#N/A</v>
      </c>
      <c r="O8" s="9" t="e">
        <f t="shared" si="1"/>
        <v>#N/A</v>
      </c>
      <c r="P8" s="9" t="e">
        <f t="shared" si="2"/>
        <v>#N/A</v>
      </c>
      <c r="R8" s="10">
        <v>0.500000000000002</v>
      </c>
      <c r="S8" s="31" t="e">
        <f>IF(COUNTIF(B26:F29,"&gt;0")&gt;0,(SUMIF(B26:F29,"&gt;0")/COUNTIF(B26:F29,"&gt;0")),NA())</f>
        <v>#N/A</v>
      </c>
      <c r="T8" s="31" t="e">
        <f>IF(COUNTIF(O26:O29,"&gt;0")&gt;0,(SUMIF(O26:O29,"&gt;0")/COUNTIF(O26:O29,"&gt;0")),NA())</f>
        <v>#N/A</v>
      </c>
      <c r="U8" s="31" t="e">
        <f>IF(COUNTIF(B26:H29,"&gt;0")&gt;0,(SUMIF(B26:H29,"&gt;0")/COUNTIF(B26:H29,"&gt;0")),NA())</f>
        <v>#N/A</v>
      </c>
      <c r="W8" s="10">
        <v>0.500000000000002</v>
      </c>
      <c r="X8" s="86">
        <v>0.3</v>
      </c>
    </row>
    <row r="9" spans="1:24">
      <c r="A9" s="10">
        <v>0.32291666666666702</v>
      </c>
      <c r="B9" s="9" t="e">
        <f>IF(Mon!D8&gt;0,Mon!D8,NA())</f>
        <v>#N/A</v>
      </c>
      <c r="C9" s="9" t="e">
        <f>IF(Tues!D8&gt;0,Tues!D8,NA())</f>
        <v>#N/A</v>
      </c>
      <c r="D9" s="9" t="e">
        <f>IF(Wed!D8&gt;0,Wed!D8,NA())</f>
        <v>#N/A</v>
      </c>
      <c r="E9" s="9" t="e">
        <f>IF(Thurs!D8&gt;0,Thurs!D8,NA())</f>
        <v>#N/A</v>
      </c>
      <c r="F9" s="9" t="e">
        <f>IF(' Fri '!D8&gt;0,' Fri '!D8,NA())</f>
        <v>#N/A</v>
      </c>
      <c r="G9" s="9" t="e">
        <f>IF(Sat!D8&gt;0,Sat!D8,NA())</f>
        <v>#N/A</v>
      </c>
      <c r="H9" s="9" t="e">
        <f>IF(Sun!D8&gt;0,Sun!D8,NA())</f>
        <v>#N/A</v>
      </c>
      <c r="J9" s="9">
        <v>300</v>
      </c>
      <c r="K9" s="9">
        <v>140</v>
      </c>
      <c r="L9" s="9">
        <v>80</v>
      </c>
      <c r="M9" s="10">
        <v>0.32291666666666702</v>
      </c>
      <c r="N9" s="9" t="e">
        <f t="shared" si="0"/>
        <v>#N/A</v>
      </c>
      <c r="O9" s="9" t="e">
        <f t="shared" si="1"/>
        <v>#N/A</v>
      </c>
      <c r="P9" s="9" t="e">
        <f t="shared" si="2"/>
        <v>#N/A</v>
      </c>
      <c r="R9" s="10">
        <v>0.54166666666666896</v>
      </c>
      <c r="S9" s="31" t="e">
        <f>IF(COUNTIF(B30:F33,"&gt;0")&gt;0,(SUMIF(B30:F33,"&gt;0")/COUNTIF(B30:F33,"&gt;0")),NA())</f>
        <v>#N/A</v>
      </c>
      <c r="T9" s="31" t="e">
        <f>IF(COUNTIF(O30:O33,"&gt;0")&gt;0,(SUMIF(O30:O33,"&gt;0")/COUNTIF(O30:O33,"&gt;0")),NA())</f>
        <v>#N/A</v>
      </c>
      <c r="U9" s="31" t="e">
        <f>IF(COUNTIF(B30:H33,"&gt;0")&gt;0,(SUMIF(B30:H33,"&gt;0")/COUNTIF(B30:H33,"&gt;0")),NA())</f>
        <v>#N/A</v>
      </c>
      <c r="W9" s="10">
        <v>0.54166666666666896</v>
      </c>
      <c r="X9" s="86">
        <v>0.3</v>
      </c>
    </row>
    <row r="10" spans="1:24">
      <c r="A10" s="10">
        <v>0.33333333333333298</v>
      </c>
      <c r="B10" s="9" t="e">
        <f>IF(Mon!E5&gt;0,Mon!E5,NA())</f>
        <v>#N/A</v>
      </c>
      <c r="C10" s="9" t="e">
        <f>IF(Tues!E5&gt;0,Tues!E5,NA())</f>
        <v>#N/A</v>
      </c>
      <c r="D10" s="9" t="e">
        <f>IF(Wed!E5&gt;0,Wed!E5,NA())</f>
        <v>#N/A</v>
      </c>
      <c r="E10" s="9" t="e">
        <f>IF(Thurs!E5&gt;0,Thurs!E5,NA())</f>
        <v>#N/A</v>
      </c>
      <c r="F10" s="9" t="e">
        <f>IF(' Fri '!E5&gt;0,' Fri '!E5,NA())</f>
        <v>#N/A</v>
      </c>
      <c r="G10" s="9" t="e">
        <f>IF(Sat!E5&gt;0,Sat!E5,NA())</f>
        <v>#N/A</v>
      </c>
      <c r="H10" s="9" t="e">
        <f>IF(Sun!E5&gt;0,Sun!E5,NA())</f>
        <v>#N/A</v>
      </c>
      <c r="J10" s="9">
        <v>300</v>
      </c>
      <c r="K10" s="9">
        <v>140</v>
      </c>
      <c r="L10" s="9">
        <v>80</v>
      </c>
      <c r="M10" s="10">
        <v>0.33333333333333298</v>
      </c>
      <c r="N10" s="9" t="e">
        <f t="shared" si="0"/>
        <v>#N/A</v>
      </c>
      <c r="O10" s="9" t="e">
        <f t="shared" si="1"/>
        <v>#N/A</v>
      </c>
      <c r="P10" s="9" t="e">
        <f t="shared" si="2"/>
        <v>#N/A</v>
      </c>
      <c r="R10" s="10">
        <v>0.58333333333333603</v>
      </c>
      <c r="S10" s="31" t="e">
        <f>IF(COUNTIF(B34:F37,"&gt;0")&gt;0,(SUMIF(B34:F37,"&gt;0")/COUNTIF(B34:F37,"&gt;0")),NA())</f>
        <v>#N/A</v>
      </c>
      <c r="T10" s="31" t="e">
        <f>IF(COUNTIF(O34:O37,"&gt;0")&gt;0,(SUMIF(O34:O37,"&gt;0")/COUNTIF(O34:O37,"&gt;0")),NA())</f>
        <v>#N/A</v>
      </c>
      <c r="U10" s="31" t="e">
        <f>IF(COUNTIF(B34:H37,"&gt;0")&gt;0,(SUMIF(B34:H37,"&gt;0")/COUNTIF(B34:H37,"&gt;0")),NA())</f>
        <v>#N/A</v>
      </c>
      <c r="W10" s="10">
        <v>0.58333333333333603</v>
      </c>
      <c r="X10" s="86">
        <v>0.3</v>
      </c>
    </row>
    <row r="11" spans="1:24">
      <c r="A11" s="10">
        <v>0.34375</v>
      </c>
      <c r="B11" s="9" t="e">
        <f>IF(Mon!E6&gt;0,Mon!E6,NA())</f>
        <v>#N/A</v>
      </c>
      <c r="C11" s="9" t="e">
        <f>IF(Tues!E6&gt;0,Tues!E6,NA())</f>
        <v>#N/A</v>
      </c>
      <c r="D11" s="9" t="e">
        <f>IF(Wed!E6&gt;0,Wed!E6,NA())</f>
        <v>#N/A</v>
      </c>
      <c r="E11" s="9" t="e">
        <f>IF(Thurs!E6&gt;0,Thurs!E6,NA())</f>
        <v>#N/A</v>
      </c>
      <c r="F11" s="9" t="e">
        <f>IF(' Fri '!E6&gt;0,' Fri '!E6,NA())</f>
        <v>#N/A</v>
      </c>
      <c r="G11" s="9" t="e">
        <f>IF(Sat!E6&gt;0,Sat!E6,NA())</f>
        <v>#N/A</v>
      </c>
      <c r="H11" s="9" t="e">
        <f>IF(Sun!E6&gt;0,Sun!E6,NA())</f>
        <v>#N/A</v>
      </c>
      <c r="J11" s="9">
        <v>300</v>
      </c>
      <c r="K11" s="9">
        <v>140</v>
      </c>
      <c r="L11" s="9">
        <v>80</v>
      </c>
      <c r="M11" s="10">
        <v>0.34375</v>
      </c>
      <c r="N11" s="9" t="e">
        <f t="shared" si="0"/>
        <v>#N/A</v>
      </c>
      <c r="O11" s="9" t="e">
        <f t="shared" si="1"/>
        <v>#N/A</v>
      </c>
      <c r="P11" s="9" t="e">
        <f t="shared" si="2"/>
        <v>#N/A</v>
      </c>
      <c r="R11" s="10">
        <v>0.625000000000003</v>
      </c>
      <c r="S11" s="31" t="e">
        <f>IF(COUNTIF(B38:F41,"&gt;0")&gt;0,(SUMIF(B38:F41,"&gt;0")/COUNTIF(B38:F41,"&gt;0")),NA())</f>
        <v>#N/A</v>
      </c>
      <c r="T11" s="31" t="e">
        <f>IF(COUNTIF(O38:O41,"&gt;0")&gt;0,(SUMIF(O38:O41,"&gt;0")/COUNTIF(O38:O41,"&gt;0")),NA())</f>
        <v>#N/A</v>
      </c>
      <c r="U11" s="31" t="e">
        <f>IF(COUNTIF(B38:H41,"&gt;0")&gt;0,(SUMIF(B38:H41,"&gt;0")/COUNTIF(B38:H41,"&gt;0")),NA())</f>
        <v>#N/A</v>
      </c>
      <c r="W11" s="10">
        <v>0.625000000000003</v>
      </c>
      <c r="X11" s="86">
        <v>0.3</v>
      </c>
    </row>
    <row r="12" spans="1:24">
      <c r="A12" s="10">
        <v>0.35416666666666702</v>
      </c>
      <c r="B12" s="9" t="e">
        <f>IF(Mon!E7&gt;0,Mon!E7,NA())</f>
        <v>#N/A</v>
      </c>
      <c r="C12" s="9" t="e">
        <f>IF(Tues!E7&gt;0,Tues!E7,NA())</f>
        <v>#N/A</v>
      </c>
      <c r="D12" s="9" t="e">
        <f>IF(Wed!E7&gt;0,Wed!E7,NA())</f>
        <v>#N/A</v>
      </c>
      <c r="E12" s="9" t="e">
        <f>IF(Thurs!E7&gt;0,Thurs!E7,NA())</f>
        <v>#N/A</v>
      </c>
      <c r="F12" s="9" t="e">
        <f>IF(' Fri '!E7&gt;0,' Fri '!E7,NA())</f>
        <v>#N/A</v>
      </c>
      <c r="G12" s="9" t="e">
        <f>IF(Sat!E7&gt;0,Sat!E7,NA())</f>
        <v>#N/A</v>
      </c>
      <c r="H12" s="9" t="e">
        <f>IF(Sun!E7&gt;0,Sun!E7,NA())</f>
        <v>#N/A</v>
      </c>
      <c r="J12" s="9">
        <v>300</v>
      </c>
      <c r="K12" s="9">
        <v>140</v>
      </c>
      <c r="L12" s="9">
        <v>80</v>
      </c>
      <c r="M12" s="10">
        <v>0.35416666666666702</v>
      </c>
      <c r="N12" s="9" t="e">
        <f t="shared" si="0"/>
        <v>#N/A</v>
      </c>
      <c r="O12" s="9" t="e">
        <f t="shared" si="1"/>
        <v>#N/A</v>
      </c>
      <c r="P12" s="9" t="e">
        <f t="shared" si="2"/>
        <v>#N/A</v>
      </c>
      <c r="R12" s="10">
        <v>0.66666666666666996</v>
      </c>
      <c r="S12" s="31" t="e">
        <f>IF(COUNTIF(B42:F45,"&gt;0")&gt;0,(SUMIF(B42:F45,"&gt;0")/COUNTIF(B42:F45,"&gt;0")),NA())</f>
        <v>#N/A</v>
      </c>
      <c r="T12" s="31" t="e">
        <f>IF(COUNTIF(O42:O45,"&gt;0")&gt;0,(SUMIF(O42:O45,"&gt;0")/COUNTIF(O42:O45,"&gt;0")),NA())</f>
        <v>#N/A</v>
      </c>
      <c r="U12" s="31" t="e">
        <f>IF(COUNTIF(B42:H45,"&gt;0")&gt;0,(SUMIF(B42:H45,"&gt;0")/COUNTIF(B42:H45,"&gt;0")),NA())</f>
        <v>#N/A</v>
      </c>
      <c r="W12" s="10">
        <v>0.66666666666666996</v>
      </c>
      <c r="X12" s="86">
        <v>0.3</v>
      </c>
    </row>
    <row r="13" spans="1:24">
      <c r="A13" s="10">
        <v>0.36458333333333398</v>
      </c>
      <c r="B13" s="9" t="e">
        <f>IF(Mon!E8&gt;0,Mon!E8,NA())</f>
        <v>#N/A</v>
      </c>
      <c r="C13" s="9" t="e">
        <f>IF(Tues!E8&gt;0,Tues!E8,NA())</f>
        <v>#N/A</v>
      </c>
      <c r="D13" s="9" t="e">
        <f>IF(Wed!E8&gt;0,Wed!E8,NA())</f>
        <v>#N/A</v>
      </c>
      <c r="E13" s="9" t="e">
        <f>IF(Thurs!E8&gt;0,Thurs!E8,NA())</f>
        <v>#N/A</v>
      </c>
      <c r="F13" s="9" t="e">
        <f>IF(' Fri '!E8&gt;0,' Fri '!E8,NA())</f>
        <v>#N/A</v>
      </c>
      <c r="G13" s="9" t="e">
        <f>IF(Sat!E8&gt;0,Sat!E8,NA())</f>
        <v>#N/A</v>
      </c>
      <c r="H13" s="9" t="e">
        <f>IF(Sun!E8&gt;0,Sun!E8,NA())</f>
        <v>#N/A</v>
      </c>
      <c r="J13" s="9">
        <v>300</v>
      </c>
      <c r="K13" s="9">
        <v>140</v>
      </c>
      <c r="L13" s="9">
        <v>80</v>
      </c>
      <c r="M13" s="10">
        <v>0.36458333333333398</v>
      </c>
      <c r="N13" s="9" t="e">
        <f t="shared" si="0"/>
        <v>#N/A</v>
      </c>
      <c r="O13" s="9" t="e">
        <f t="shared" si="1"/>
        <v>#N/A</v>
      </c>
      <c r="P13" s="9" t="e">
        <f t="shared" si="2"/>
        <v>#N/A</v>
      </c>
      <c r="R13" s="10">
        <v>0.70833333333333703</v>
      </c>
      <c r="S13" s="31" t="e">
        <f>IF(COUNTIF(B46:F49,"&gt;0")&gt;0,(SUMIF(B46:F49,"&gt;0")/COUNTIF(B46:F49,"&gt;0")),NA())</f>
        <v>#N/A</v>
      </c>
      <c r="T13" s="31" t="e">
        <f>IF(COUNTIF(O46:O49,"&gt;0")&gt;0,(SUMIF(O46:O49,"&gt;0")/COUNTIF(O46:O49,"&gt;0")),NA())</f>
        <v>#N/A</v>
      </c>
      <c r="U13" s="31" t="e">
        <f>IF(COUNTIF(B46:H49,"&gt;0")&gt;0,(SUMIF(B46:H49,"&gt;0")/COUNTIF(B46:H49,"&gt;0")),NA())</f>
        <v>#N/A</v>
      </c>
      <c r="W13" s="10">
        <v>0.70833333333333703</v>
      </c>
      <c r="X13" s="86">
        <v>0.3</v>
      </c>
    </row>
    <row r="14" spans="1:24">
      <c r="A14" s="10">
        <v>0.375</v>
      </c>
      <c r="B14" s="9" t="e">
        <f>IF(Mon!F5&gt;0,Mon!F5,NA())</f>
        <v>#N/A</v>
      </c>
      <c r="C14" s="9" t="e">
        <f>IF(Tues!F5&gt;0,Tues!F5,NA())</f>
        <v>#N/A</v>
      </c>
      <c r="D14" s="9" t="e">
        <f>IF(Wed!F5&gt;0,Wed!F5,NA())</f>
        <v>#N/A</v>
      </c>
      <c r="E14" s="9" t="e">
        <f>IF(Thurs!F5&gt;0,Thurs!F5,NA())</f>
        <v>#N/A</v>
      </c>
      <c r="F14" s="9" t="e">
        <f>IF(' Fri '!F5&gt;0,' Fri '!F5,NA())</f>
        <v>#N/A</v>
      </c>
      <c r="G14" s="9" t="e">
        <f>IF(Sat!F5&gt;0,Sat!F5,NA())</f>
        <v>#N/A</v>
      </c>
      <c r="H14" s="9" t="e">
        <f>IF(Sun!F5&gt;0,Sun!F5,NA())</f>
        <v>#N/A</v>
      </c>
      <c r="J14" s="9">
        <v>300</v>
      </c>
      <c r="K14" s="9">
        <v>140</v>
      </c>
      <c r="L14" s="9">
        <v>80</v>
      </c>
      <c r="M14" s="10">
        <v>0.375</v>
      </c>
      <c r="N14" s="9" t="e">
        <f t="shared" si="0"/>
        <v>#N/A</v>
      </c>
      <c r="O14" s="9" t="e">
        <f t="shared" si="1"/>
        <v>#N/A</v>
      </c>
      <c r="P14" s="9" t="e">
        <f t="shared" si="2"/>
        <v>#N/A</v>
      </c>
      <c r="R14" s="10">
        <v>0.750000000000004</v>
      </c>
      <c r="S14" s="31" t="e">
        <f>IF(COUNTIF(B50:F53,"&gt;0")&gt;0,(SUMIF(B50:F53,"&gt;0")/COUNTIF(B50:F53,"&gt;0")),NA())</f>
        <v>#N/A</v>
      </c>
      <c r="T14" s="31" t="e">
        <f>IF(COUNTIF(O50:O53,"&gt;0")&gt;0,(SUMIF(O50:O53,"&gt;0")/COUNTIF(O50:O53,"&gt;0")),NA())</f>
        <v>#N/A</v>
      </c>
      <c r="U14" s="31" t="e">
        <f>IF(COUNTIF(B50:H53,"&gt;0")&gt;0,(SUMIF(B50:H53,"&gt;0")/COUNTIF(B50:H53,"&gt;0")),NA())</f>
        <v>#N/A</v>
      </c>
      <c r="W14" s="10">
        <v>0.750000000000004</v>
      </c>
      <c r="X14" s="86">
        <v>0.3</v>
      </c>
    </row>
    <row r="15" spans="1:24">
      <c r="A15" s="10">
        <v>0.38541666666666702</v>
      </c>
      <c r="B15" s="9" t="e">
        <f>IF(Mon!F6&gt;0,Mon!F6,NA())</f>
        <v>#N/A</v>
      </c>
      <c r="C15" s="9" t="e">
        <f>IF(Tues!F6&gt;0,Tues!F6,NA())</f>
        <v>#N/A</v>
      </c>
      <c r="D15" s="9" t="e">
        <f>IF(Wed!F6&gt;0,Wed!F6,NA())</f>
        <v>#N/A</v>
      </c>
      <c r="E15" s="9" t="e">
        <f>IF(Thurs!F6&gt;0,Thurs!F6,NA())</f>
        <v>#N/A</v>
      </c>
      <c r="F15" s="9" t="e">
        <f>IF(' Fri '!F6&gt;0,' Fri '!F6,NA())</f>
        <v>#N/A</v>
      </c>
      <c r="G15" s="9" t="e">
        <f>IF(Sat!F6&gt;0,Sat!F6,NA())</f>
        <v>#N/A</v>
      </c>
      <c r="H15" s="9" t="e">
        <f>IF(Sun!F6&gt;0,Sun!F6,NA())</f>
        <v>#N/A</v>
      </c>
      <c r="J15" s="9">
        <v>300</v>
      </c>
      <c r="K15" s="9">
        <v>140</v>
      </c>
      <c r="L15" s="9">
        <v>80</v>
      </c>
      <c r="M15" s="10">
        <v>0.38541666666666702</v>
      </c>
      <c r="N15" s="9" t="e">
        <f t="shared" si="0"/>
        <v>#N/A</v>
      </c>
      <c r="O15" s="9" t="e">
        <f t="shared" si="1"/>
        <v>#N/A</v>
      </c>
      <c r="P15" s="9" t="e">
        <f t="shared" si="2"/>
        <v>#N/A</v>
      </c>
      <c r="R15" s="10">
        <v>0.79166666666667096</v>
      </c>
      <c r="S15" s="31" t="e">
        <f>IF(COUNTIF(B54:F57,"&gt;0")&gt;0,(SUMIF(B54:F57,"&gt;0")/COUNTIF(B54:F57,"&gt;0")),NA())</f>
        <v>#N/A</v>
      </c>
      <c r="T15" s="31" t="e">
        <f>IF(COUNTIF(O54:O57,"&gt;0")&gt;0,(SUMIF(O54:O57,"&gt;0")/COUNTIF(O54:O57,"&gt;0")),NA())</f>
        <v>#N/A</v>
      </c>
      <c r="U15" s="31" t="e">
        <f>IF(COUNTIF(B54:H57,"&gt;0")&gt;0,(SUMIF(B54:H57,"&gt;0")/COUNTIF(B54:H57,"&gt;0")),NA())</f>
        <v>#N/A</v>
      </c>
      <c r="W15" s="10">
        <v>0.79166666666667096</v>
      </c>
      <c r="X15" s="86">
        <v>0.4</v>
      </c>
    </row>
    <row r="16" spans="1:24">
      <c r="A16" s="10">
        <v>0.39583333333333398</v>
      </c>
      <c r="B16" s="9" t="e">
        <f>IF(Mon!F7&gt;0,Mon!F7,NA())</f>
        <v>#N/A</v>
      </c>
      <c r="C16" s="9" t="e">
        <f>IF(Tues!F7&gt;0,Tues!F7,NA())</f>
        <v>#N/A</v>
      </c>
      <c r="D16" s="9" t="e">
        <f>IF(Wed!F7&gt;0,Wed!F7,NA())</f>
        <v>#N/A</v>
      </c>
      <c r="E16" s="9" t="e">
        <f>IF(Thurs!F7&gt;0,Thurs!F7,NA())</f>
        <v>#N/A</v>
      </c>
      <c r="F16" s="9" t="e">
        <f>IF(' Fri '!F7&gt;0,' Fri '!F7,NA())</f>
        <v>#N/A</v>
      </c>
      <c r="G16" s="9" t="e">
        <f>IF(Sat!F7&gt;0,Sat!F7,NA())</f>
        <v>#N/A</v>
      </c>
      <c r="H16" s="9" t="e">
        <f>IF(Sun!F7&gt;0,Sun!F7,NA())</f>
        <v>#N/A</v>
      </c>
      <c r="J16" s="9">
        <v>300</v>
      </c>
      <c r="K16" s="9">
        <v>140</v>
      </c>
      <c r="L16" s="9">
        <v>80</v>
      </c>
      <c r="M16" s="10">
        <v>0.39583333333333398</v>
      </c>
      <c r="N16" s="9" t="e">
        <f t="shared" si="0"/>
        <v>#N/A</v>
      </c>
      <c r="O16" s="9" t="e">
        <f t="shared" si="1"/>
        <v>#N/A</v>
      </c>
      <c r="P16" s="9" t="e">
        <f t="shared" si="2"/>
        <v>#N/A</v>
      </c>
      <c r="R16" s="10">
        <v>0.83333333333333803</v>
      </c>
      <c r="S16" s="31" t="e">
        <f>IF(COUNTIF(B58:F62,"&gt;0")&gt;0,(SUMIF(B58:F62,"&gt;0")/COUNTIF(B58:F62,"&gt;0")),NA())</f>
        <v>#N/A</v>
      </c>
      <c r="T16" s="31" t="e">
        <f>IF(COUNTIF(O58:O61,"&gt;0")&gt;0,(SUMIF(O58:O61,"&gt;0")/COUNTIF(O58:O61,"&gt;0")),NA())</f>
        <v>#N/A</v>
      </c>
      <c r="U16" s="31" t="e">
        <f>IF(COUNTIF(B58:H62,"&gt;0")&gt;0,(SUMIF(B58:H62,"&gt;0")/COUNTIF(B58:H62,"&gt;0")),NA())</f>
        <v>#N/A</v>
      </c>
      <c r="W16" s="10">
        <v>0.83333333333333803</v>
      </c>
      <c r="X16" s="86">
        <v>0.4</v>
      </c>
    </row>
    <row r="17" spans="1:24">
      <c r="A17" s="10">
        <v>0.40625</v>
      </c>
      <c r="B17" s="9" t="e">
        <f>IF(Mon!F8&gt;0,Mon!F8,NA())</f>
        <v>#N/A</v>
      </c>
      <c r="C17" s="9" t="e">
        <f>IF(Tues!F8&gt;0,Tues!F8,NA())</f>
        <v>#N/A</v>
      </c>
      <c r="D17" s="9" t="e">
        <f>IF(Wed!F8&gt;0,Wed!F8,NA())</f>
        <v>#N/A</v>
      </c>
      <c r="E17" s="9" t="e">
        <f>IF(Thurs!F8&gt;0,Thurs!F8,NA())</f>
        <v>#N/A</v>
      </c>
      <c r="F17" s="9" t="e">
        <f>IF(' Fri '!F8&gt;0,' Fri '!F8,NA())</f>
        <v>#N/A</v>
      </c>
      <c r="G17" s="9" t="e">
        <f>IF(Sat!F8&gt;0,Sat!F8,NA())</f>
        <v>#N/A</v>
      </c>
      <c r="H17" s="9" t="e">
        <f>IF(Sun!F8&gt;0,Sun!F8,NA())</f>
        <v>#N/A</v>
      </c>
      <c r="J17" s="9">
        <v>300</v>
      </c>
      <c r="K17" s="9">
        <v>140</v>
      </c>
      <c r="L17" s="9">
        <v>80</v>
      </c>
      <c r="M17" s="10">
        <v>0.40625</v>
      </c>
      <c r="N17" s="9" t="e">
        <f t="shared" si="0"/>
        <v>#N/A</v>
      </c>
      <c r="O17" s="9" t="e">
        <f t="shared" si="1"/>
        <v>#N/A</v>
      </c>
      <c r="P17" s="9" t="e">
        <f t="shared" si="2"/>
        <v>#N/A</v>
      </c>
      <c r="R17" s="10">
        <v>0.875000000000005</v>
      </c>
      <c r="S17" s="31" t="e">
        <f>IF(COUNTIF(B63:F65,"&gt;0")&gt;0,(SUMIF(B63:F65,"&gt;0")/COUNTIF(B63:F65,"&gt;0")),NA())</f>
        <v>#N/A</v>
      </c>
      <c r="T17" s="31" t="e">
        <f>IF(COUNTIF(O62:O65,"&gt;0")&gt;0,(SUMIF(O62:O65,"&gt;0")/COUNTIF(O62:O65,"&gt;0")),NA())</f>
        <v>#N/A</v>
      </c>
      <c r="U17" s="31" t="e">
        <f>IF(COUNTIF(B63:H65,"&gt;0")&gt;0,(SUMIF(B63:H65,"&gt;0")/COUNTIF(B63:H65,"&gt;0")),NA())</f>
        <v>#N/A</v>
      </c>
      <c r="W17" s="10">
        <v>0.875000000000005</v>
      </c>
      <c r="X17" s="86">
        <v>0.6</v>
      </c>
    </row>
    <row r="18" spans="1:24">
      <c r="A18" s="10">
        <v>0.41666666666666702</v>
      </c>
      <c r="B18" s="9" t="e">
        <f>IF(Mon!G5&gt;0, Mon!G5, NA())</f>
        <v>#N/A</v>
      </c>
      <c r="C18" s="9" t="e">
        <f>IF(Tues!G5&gt;0, Tues!G5, NA())</f>
        <v>#N/A</v>
      </c>
      <c r="D18" s="9" t="e">
        <f>IF(Wed!G5&gt;0, Wed!G5, NA())</f>
        <v>#N/A</v>
      </c>
      <c r="E18" s="9" t="e">
        <f>IF(Thurs!G5&gt;0, Thurs!G5, NA())</f>
        <v>#N/A</v>
      </c>
      <c r="F18" s="9" t="e">
        <f>IF(' Fri '!G5&gt;0, ' Fri '!G5, NA())</f>
        <v>#N/A</v>
      </c>
      <c r="G18" s="9" t="e">
        <f>IF(Sat!G5&gt;0, Sat!G5, NA())</f>
        <v>#N/A</v>
      </c>
      <c r="H18" s="9" t="e">
        <f>IF(Sun!G5&gt;0, Sun!G5, NA())</f>
        <v>#N/A</v>
      </c>
      <c r="J18" s="9">
        <v>300</v>
      </c>
      <c r="K18" s="9">
        <v>140</v>
      </c>
      <c r="L18" s="9">
        <v>80</v>
      </c>
      <c r="M18" s="10">
        <v>0.41666666666666702</v>
      </c>
      <c r="N18" s="9" t="e">
        <f t="shared" si="0"/>
        <v>#N/A</v>
      </c>
      <c r="O18" s="9" t="e">
        <f t="shared" si="1"/>
        <v>#N/A</v>
      </c>
      <c r="P18" s="9" t="e">
        <f t="shared" si="2"/>
        <v>#N/A</v>
      </c>
      <c r="R18" s="10">
        <v>0.91666666666667196</v>
      </c>
      <c r="S18" s="31" t="e">
        <f>IF(COUNTIF(B66:F69,"&gt;0")&gt;0,(SUMIF(B66:F69,"&gt;0")/COUNTIF(B66:F69,"&gt;0")),NA())</f>
        <v>#N/A</v>
      </c>
      <c r="T18" s="31" t="e">
        <f>IF(COUNTIF(O66:O69,"&gt;0")&gt;0,(SUMIF(O66:O69,"&gt;0")/COUNTIF(O66:O69,"&gt;0")),NA())</f>
        <v>#N/A</v>
      </c>
      <c r="U18" s="31" t="e">
        <f>IF(COUNTIF(B66:H69,"&gt;0")&gt;0,(SUMIF(B66:H69,"&gt;0")/COUNTIF(B66:H69,"&gt;0")),NA())</f>
        <v>#N/A</v>
      </c>
      <c r="W18" s="10">
        <v>0.91666666666667196</v>
      </c>
      <c r="X18" s="86">
        <v>0.6</v>
      </c>
    </row>
    <row r="19" spans="1:24">
      <c r="A19" s="10">
        <v>0.42708333333333398</v>
      </c>
      <c r="B19" s="9" t="e">
        <f>IF(Mon!G6&gt;0, Mon!G6, NA())</f>
        <v>#N/A</v>
      </c>
      <c r="C19" s="9" t="e">
        <f>IF(Tues!G6&gt;0, Tues!G6, NA())</f>
        <v>#N/A</v>
      </c>
      <c r="D19" s="9" t="e">
        <f>IF(Wed!G6&gt;0, Wed!G6, NA())</f>
        <v>#N/A</v>
      </c>
      <c r="E19" s="9" t="e">
        <f>IF(Thurs!G6&gt;0, Thurs!G6, NA())</f>
        <v>#N/A</v>
      </c>
      <c r="F19" s="9" t="e">
        <f>IF(' Fri '!G6&gt;0, ' Fri '!G6, NA())</f>
        <v>#N/A</v>
      </c>
      <c r="G19" s="9" t="e">
        <f>IF(Sat!G6&gt;0, Sat!G6, NA())</f>
        <v>#N/A</v>
      </c>
      <c r="H19" s="9" t="e">
        <f>IF(Sun!G6&gt;0, Sun!G6, NA())</f>
        <v>#N/A</v>
      </c>
      <c r="J19" s="9">
        <v>300</v>
      </c>
      <c r="K19" s="9">
        <v>140</v>
      </c>
      <c r="L19" s="9">
        <v>80</v>
      </c>
      <c r="M19" s="10">
        <v>0.42708333333333398</v>
      </c>
      <c r="N19" s="9" t="e">
        <f t="shared" si="0"/>
        <v>#N/A</v>
      </c>
      <c r="O19" s="9" t="e">
        <f t="shared" si="1"/>
        <v>#N/A</v>
      </c>
      <c r="P19" s="9" t="e">
        <f t="shared" si="2"/>
        <v>#N/A</v>
      </c>
      <c r="R19" s="10">
        <v>0.95833333333333903</v>
      </c>
      <c r="S19" s="31" t="e">
        <f>IF(COUNTIF(B70:F73,"&gt;0")&gt;0,(SUMIF(B70:F73,"&gt;0")/COUNTIF(B70:F73,"&gt;0")),NA())</f>
        <v>#N/A</v>
      </c>
      <c r="T19" s="31" t="e">
        <f>IF(COUNTIF(O70:O73,"&gt;0")&gt;0,(SUMIF(O70:O73,"&gt;0")/COUNTIF(O70:O73,"&gt;0")),NA())</f>
        <v>#N/A</v>
      </c>
      <c r="U19" s="31" t="e">
        <f>IF(COUNTIF(B70:H73,"&gt;0")&gt;0,(SUMIF(B70:H73,"&gt;0")/COUNTIF(B70:H73,"&gt;0")),NA())</f>
        <v>#N/A</v>
      </c>
      <c r="W19" s="10">
        <v>0.95833333333333903</v>
      </c>
      <c r="X19" s="86">
        <v>0.6</v>
      </c>
    </row>
    <row r="20" spans="1:24">
      <c r="A20" s="10">
        <v>0.4375</v>
      </c>
      <c r="B20" s="9" t="e">
        <f>IF(Mon!G7&gt;0, Mon!G7, NA())</f>
        <v>#N/A</v>
      </c>
      <c r="C20" s="9" t="e">
        <f>IF(Tues!G7&gt;0, Tues!G7, NA())</f>
        <v>#N/A</v>
      </c>
      <c r="D20" s="9" t="e">
        <f>IF(Wed!G7&gt;0, Wed!G7, NA())</f>
        <v>#N/A</v>
      </c>
      <c r="E20" s="9" t="e">
        <f>IF(Thurs!G7&gt;0, Thurs!G7, NA())</f>
        <v>#N/A</v>
      </c>
      <c r="F20" s="9" t="e">
        <f>IF(' Fri '!G7&gt;0, ' Fri '!G7, NA())</f>
        <v>#N/A</v>
      </c>
      <c r="G20" s="9" t="e">
        <f>IF(Sat!G7&gt;0, Sat!G7, NA())</f>
        <v>#N/A</v>
      </c>
      <c r="H20" s="9" t="e">
        <f>IF(Sun!G7&gt;0, Sun!G7, NA())</f>
        <v>#N/A</v>
      </c>
      <c r="J20" s="9">
        <v>300</v>
      </c>
      <c r="K20" s="9">
        <v>140</v>
      </c>
      <c r="L20" s="9">
        <v>80</v>
      </c>
      <c r="M20" s="10">
        <v>0.4375</v>
      </c>
      <c r="N20" s="9" t="e">
        <f t="shared" si="0"/>
        <v>#N/A</v>
      </c>
      <c r="O20" s="9" t="e">
        <f t="shared" si="1"/>
        <v>#N/A</v>
      </c>
      <c r="P20" s="9" t="e">
        <f t="shared" si="2"/>
        <v>#N/A</v>
      </c>
      <c r="R20" s="10">
        <v>1.00000000000001</v>
      </c>
      <c r="S20" s="31" t="e">
        <f>IF(COUNTIF(B74:F77,"&gt;0")&gt;0,(SUMIF(B74:F77,"&gt;0")/COUNTIF(B74:F77,"&gt;0")),NA())</f>
        <v>#N/A</v>
      </c>
      <c r="T20" s="31" t="e">
        <f>IF(COUNTIF(O74:O77,"&gt;0")&gt;0,(SUMIF(O74:O77,"&gt;0")/COUNTIF(O74:O77,"&gt;0")),NA())</f>
        <v>#N/A</v>
      </c>
      <c r="U20" s="31" t="e">
        <f>IF(COUNTIF(B74:H77,"&gt;0")&gt;0,(SUMIF(B74:H77,"&gt;0")/COUNTIF(B74:H77,"&gt;0")),NA())</f>
        <v>#N/A</v>
      </c>
      <c r="W20" s="10">
        <v>1.00000000000001</v>
      </c>
      <c r="X20" s="86">
        <v>0.6</v>
      </c>
    </row>
    <row r="21" spans="1:24">
      <c r="A21" s="10">
        <v>0.44791666666666702</v>
      </c>
      <c r="B21" s="9" t="e">
        <f>IF(Mon!G8&gt;0, Mon!G8, NA())</f>
        <v>#N/A</v>
      </c>
      <c r="C21" s="9" t="e">
        <f>IF(Tues!G8&gt;0, Tues!G8, NA())</f>
        <v>#N/A</v>
      </c>
      <c r="D21" s="9" t="e">
        <f>IF(Wed!G8&gt;0, Wed!G8, NA())</f>
        <v>#N/A</v>
      </c>
      <c r="E21" s="9" t="e">
        <f>IF(Thurs!G8&gt;0, Thurs!G8, NA())</f>
        <v>#N/A</v>
      </c>
      <c r="F21" s="9" t="e">
        <f>IF(' Fri '!G8&gt;0, ' Fri '!G8, NA())</f>
        <v>#N/A</v>
      </c>
      <c r="G21" s="9" t="e">
        <f>IF(Sat!G8&gt;0, Sat!G8, NA())</f>
        <v>#N/A</v>
      </c>
      <c r="H21" s="9" t="e">
        <f>IF(Sun!G8&gt;0, Sun!G8, NA())</f>
        <v>#N/A</v>
      </c>
      <c r="J21" s="9">
        <v>300</v>
      </c>
      <c r="K21" s="9">
        <v>140</v>
      </c>
      <c r="L21" s="9">
        <v>80</v>
      </c>
      <c r="M21" s="10">
        <v>0.44791666666666702</v>
      </c>
      <c r="N21" s="9" t="e">
        <f t="shared" si="0"/>
        <v>#N/A</v>
      </c>
      <c r="O21" s="9" t="e">
        <f t="shared" si="1"/>
        <v>#N/A</v>
      </c>
      <c r="P21" s="9" t="e">
        <f t="shared" si="2"/>
        <v>#N/A</v>
      </c>
      <c r="R21" s="10">
        <v>1.0416666666666701</v>
      </c>
      <c r="S21" s="31" t="e">
        <f>IF(COUNTIF(B78:F81,"&gt;0")&gt;0,(SUMIF(B78:F81,"&gt;0")/COUNTIF(B78:F81,"&gt;0")),NA())</f>
        <v>#N/A</v>
      </c>
      <c r="T21" s="31" t="e">
        <f>IF(COUNTIF(O78:O81,"&gt;0")&gt;0,(SUMIF(O78:O81,"&gt;0")/COUNTIF(O78:O81,"&gt;0")),NA())</f>
        <v>#N/A</v>
      </c>
      <c r="U21" s="31" t="e">
        <f>IF(COUNTIF(B78:H81,"&gt;0")&gt;0,(SUMIF(B78:H81,"&gt;0")/COUNTIF(B78:H81,"&gt;0")),NA())</f>
        <v>#N/A</v>
      </c>
      <c r="W21" s="10">
        <v>1.0416666666666701</v>
      </c>
      <c r="X21" s="86">
        <v>0.6</v>
      </c>
    </row>
    <row r="22" spans="1:24">
      <c r="A22" s="10">
        <v>0.45833333333333398</v>
      </c>
      <c r="B22" s="9" t="e">
        <f>IF(Mon!H5&gt;0,Mon!H5,NA())</f>
        <v>#N/A</v>
      </c>
      <c r="C22" s="9" t="e">
        <f>IF(Tues!H5&gt;0,Tues!H5,NA())</f>
        <v>#N/A</v>
      </c>
      <c r="D22" s="9" t="e">
        <f>IF(Wed!H5&gt;0,Wed!H5,NA())</f>
        <v>#N/A</v>
      </c>
      <c r="E22" s="9" t="e">
        <f>IF(Thurs!H5&gt;0,Thurs!H5,NA())</f>
        <v>#N/A</v>
      </c>
      <c r="F22" s="9" t="e">
        <f>IF(' Fri '!H5&gt;0,' Fri '!H5,NA())</f>
        <v>#N/A</v>
      </c>
      <c r="G22" s="9" t="e">
        <f>IF(Sat!H5&gt;0,Sat!H5,NA())</f>
        <v>#N/A</v>
      </c>
      <c r="H22" s="9" t="e">
        <f>IF(Sun!H5&gt;0,Sun!H5,NA())</f>
        <v>#N/A</v>
      </c>
      <c r="J22" s="9">
        <v>300</v>
      </c>
      <c r="K22" s="9">
        <v>140</v>
      </c>
      <c r="L22" s="9">
        <v>80</v>
      </c>
      <c r="M22" s="10">
        <v>0.45833333333333398</v>
      </c>
      <c r="N22" s="9" t="e">
        <f t="shared" si="0"/>
        <v>#N/A</v>
      </c>
      <c r="O22" s="9" t="e">
        <f t="shared" si="1"/>
        <v>#N/A</v>
      </c>
      <c r="P22" s="9" t="e">
        <f t="shared" si="2"/>
        <v>#N/A</v>
      </c>
      <c r="R22" s="10">
        <v>1.0833333333333399</v>
      </c>
      <c r="S22" s="31" t="e">
        <f>IF(COUNTIF(B82:F85,"&gt;0")&gt;0,(SUMIF(B82:F85,"&gt;0")/COUNTIF(B82:F85,"&gt;0")),NA())</f>
        <v>#N/A</v>
      </c>
      <c r="T22" s="31" t="e">
        <f>IF(COUNTIF(O82:O85,"&gt;0")&gt;0,(SUMIF(O82:O85,"&gt;0")/COUNTIF(O82:O85,"&gt;0")),NA())</f>
        <v>#N/A</v>
      </c>
      <c r="U22" s="31" t="e">
        <f>IF(COUNTIF(B82:H85,"&gt;0")&gt;0,(SUMIF(B82:H85,"&gt;0")/COUNTIF(B82:H85,"&gt;0")),NA())</f>
        <v>#N/A</v>
      </c>
      <c r="W22" s="10">
        <v>1.0833333333333399</v>
      </c>
      <c r="X22" s="86">
        <v>0.6</v>
      </c>
    </row>
    <row r="23" spans="1:24">
      <c r="A23" s="10">
        <v>0.46875</v>
      </c>
      <c r="B23" s="9" t="e">
        <f>IF(Mon!H6&gt;0,Mon!H6,NA())</f>
        <v>#N/A</v>
      </c>
      <c r="C23" s="9" t="e">
        <f>IF(Tues!H6&gt;0,Tues!H6,NA())</f>
        <v>#N/A</v>
      </c>
      <c r="D23" s="9" t="e">
        <f>IF(Wed!H6&gt;0,Wed!H6,NA())</f>
        <v>#N/A</v>
      </c>
      <c r="E23" s="9" t="e">
        <f>IF(Thurs!H6&gt;0,Thurs!H6,NA())</f>
        <v>#N/A</v>
      </c>
      <c r="F23" s="9" t="e">
        <f>IF(' Fri '!H6&gt;0,' Fri '!H6,NA())</f>
        <v>#N/A</v>
      </c>
      <c r="G23" s="9" t="e">
        <f>IF(Sat!H6&gt;0,Sat!H6,NA())</f>
        <v>#N/A</v>
      </c>
      <c r="H23" s="9" t="e">
        <f>IF(Sun!H6&gt;0,Sun!H6,NA())</f>
        <v>#N/A</v>
      </c>
      <c r="J23" s="9">
        <v>300</v>
      </c>
      <c r="K23" s="9">
        <v>140</v>
      </c>
      <c r="L23" s="9">
        <v>80</v>
      </c>
      <c r="M23" s="10">
        <v>0.46875</v>
      </c>
      <c r="N23" s="9" t="e">
        <f t="shared" si="0"/>
        <v>#N/A</v>
      </c>
      <c r="O23" s="9" t="e">
        <f t="shared" si="1"/>
        <v>#N/A</v>
      </c>
      <c r="P23" s="9" t="e">
        <f t="shared" si="2"/>
        <v>#N/A</v>
      </c>
      <c r="R23" s="10">
        <v>1.12500000000001</v>
      </c>
      <c r="S23" s="31" t="e">
        <f>IF(COUNTIF(B86:F89,"&gt;0")&gt;0,(SUMIF(B86:F89,"&gt;0")/COUNTIF(B86:F89,"&gt;0")),NA())</f>
        <v>#N/A</v>
      </c>
      <c r="T23" s="31" t="e">
        <f>IF(COUNTIF(O86:O89,"&gt;0")&gt;0,(SUMIF(O86:O89,"&gt;0")/COUNTIF(O86:O89,"&gt;0")),NA())</f>
        <v>#N/A</v>
      </c>
      <c r="U23" s="31" t="e">
        <f>IF(COUNTIF(B86:H89,"&gt;0")&gt;0,(SUMIF(B86:H89,"&gt;0")/COUNTIF(B86:H89,"&gt;0")),NA())</f>
        <v>#N/A</v>
      </c>
      <c r="W23" s="10">
        <v>1.12500000000001</v>
      </c>
      <c r="X23" s="86">
        <v>0.6</v>
      </c>
    </row>
    <row r="24" spans="1:24">
      <c r="A24" s="10">
        <v>0.47916666666666702</v>
      </c>
      <c r="B24" s="9" t="e">
        <f>IF(Mon!H7&gt;0,Mon!H7,NA())</f>
        <v>#N/A</v>
      </c>
      <c r="C24" s="9" t="e">
        <f>IF(Tues!H7&gt;0,Tues!H7,NA())</f>
        <v>#N/A</v>
      </c>
      <c r="D24" s="9" t="e">
        <f>IF(Wed!H7&gt;0,Wed!H7,NA())</f>
        <v>#N/A</v>
      </c>
      <c r="E24" s="9" t="e">
        <f>IF(Thurs!H7&gt;0,Thurs!H7,NA())</f>
        <v>#N/A</v>
      </c>
      <c r="F24" s="9" t="e">
        <f>IF(' Fri '!H7&gt;0,' Fri '!H7,NA())</f>
        <v>#N/A</v>
      </c>
      <c r="G24" s="9" t="e">
        <f>IF(Sat!H7&gt;0,Sat!H7,NA())</f>
        <v>#N/A</v>
      </c>
      <c r="H24" s="9" t="e">
        <f>IF(Sun!H7&gt;0,Sun!H7,NA())</f>
        <v>#N/A</v>
      </c>
      <c r="J24" s="9">
        <v>300</v>
      </c>
      <c r="K24" s="9">
        <v>140</v>
      </c>
      <c r="L24" s="9">
        <v>80</v>
      </c>
      <c r="M24" s="10">
        <v>0.47916666666666702</v>
      </c>
      <c r="N24" s="9" t="e">
        <f t="shared" si="0"/>
        <v>#N/A</v>
      </c>
      <c r="O24" s="9" t="e">
        <f t="shared" si="1"/>
        <v>#N/A</v>
      </c>
      <c r="P24" s="9" t="e">
        <f t="shared" si="2"/>
        <v>#N/A</v>
      </c>
      <c r="R24" s="10">
        <v>1.1666666666666701</v>
      </c>
      <c r="S24" s="31" t="e">
        <f>IF(COUNTIF(B90:F93,"&gt;0")&gt;0,(SUMIF(B90:F93,"&gt;0")/COUNTIF(B90:F93,"&gt;0")),NA())</f>
        <v>#N/A</v>
      </c>
      <c r="T24" s="31" t="e">
        <f>IF(COUNTIF(O90:O93,"&gt;0")&gt;0,(SUMIF(O90:O93,"&gt;0")/COUNTIF(O90:O93,"&gt;0")),NA())</f>
        <v>#N/A</v>
      </c>
      <c r="U24" s="31" t="e">
        <f>IF(COUNTIF(B90:H93,"&gt;0")&gt;0,(SUMIF(B90:H93,"&gt;0")/COUNTIF(B90:H93,"&gt;0")),NA())</f>
        <v>#N/A</v>
      </c>
      <c r="W24" s="10">
        <v>1.1666666666666701</v>
      </c>
      <c r="X24" s="86">
        <v>0.65</v>
      </c>
    </row>
    <row r="25" spans="1:24">
      <c r="A25" s="10">
        <v>0.48958333333333398</v>
      </c>
      <c r="B25" s="9" t="e">
        <f>IF(Mon!H8&gt;0,Mon!H8,NA())</f>
        <v>#N/A</v>
      </c>
      <c r="C25" s="9" t="e">
        <f>IF(Tues!H8&gt;0,Tues!H8,NA())</f>
        <v>#N/A</v>
      </c>
      <c r="D25" s="9" t="e">
        <f>IF(Wed!H8&gt;0,Wed!H8,NA())</f>
        <v>#N/A</v>
      </c>
      <c r="E25" s="9" t="e">
        <f>IF(Thurs!H8&gt;0,Thurs!H8,NA())</f>
        <v>#N/A</v>
      </c>
      <c r="F25" s="9" t="e">
        <f>IF(' Fri '!H8&gt;0,' Fri '!H8,NA())</f>
        <v>#N/A</v>
      </c>
      <c r="G25" s="9" t="e">
        <f>IF(Sat!H8&gt;0,Sat!H8,NA())</f>
        <v>#N/A</v>
      </c>
      <c r="H25" s="9" t="e">
        <f>IF(Sun!H8&gt;0,Sun!H8,NA())</f>
        <v>#N/A</v>
      </c>
      <c r="J25" s="9">
        <v>300</v>
      </c>
      <c r="K25" s="9">
        <v>140</v>
      </c>
      <c r="L25" s="9">
        <v>80</v>
      </c>
      <c r="M25" s="10">
        <v>0.48958333333333398</v>
      </c>
      <c r="N25" s="9" t="e">
        <f t="shared" si="0"/>
        <v>#N/A</v>
      </c>
      <c r="O25" s="9" t="e">
        <f t="shared" si="1"/>
        <v>#N/A</v>
      </c>
      <c r="P25" s="9" t="e">
        <f t="shared" si="2"/>
        <v>#N/A</v>
      </c>
      <c r="R25" s="10">
        <v>1.2083333333333399</v>
      </c>
      <c r="S25" s="31" t="e">
        <f>IF(COUNTIF(B94:F97,"&gt;0")&gt;0,(SUMIF(B94:F97,"&gt;0")/COUNTIF(B94:F97,"&gt;0")),NA())</f>
        <v>#N/A</v>
      </c>
      <c r="T25" s="31" t="e">
        <f>IF(COUNTIF(O94:O97,"&gt;0")&gt;0,(SUMIF(O94:O97,"&gt;0")/COUNTIF(O94:O97,"&gt;0")),NA())</f>
        <v>#N/A</v>
      </c>
      <c r="U25" s="31" t="e">
        <f>IF(COUNTIF(B94:H97,"&gt;0")&gt;0,(SUMIF(B94:H97,"&gt;0")/COUNTIF(B94:H97,"&gt;0")),NA())</f>
        <v>#N/A</v>
      </c>
      <c r="W25" s="10">
        <v>1.2083333333333399</v>
      </c>
      <c r="X25" s="86">
        <v>0.65</v>
      </c>
    </row>
    <row r="26" spans="1:24">
      <c r="A26" s="10">
        <v>0.5</v>
      </c>
      <c r="B26" s="9" t="e">
        <f>IF(Mon!I5&gt;0,Mon!I5,NA())</f>
        <v>#N/A</v>
      </c>
      <c r="C26" s="9" t="e">
        <f>IF(Tues!I5&gt;0,Tues!I5,NA())</f>
        <v>#N/A</v>
      </c>
      <c r="D26" s="9" t="e">
        <f>IF(Wed!I5&gt;0,Wed!I5,NA())</f>
        <v>#N/A</v>
      </c>
      <c r="E26" s="9" t="e">
        <f>IF(Thurs!I5&gt;0,Thurs!I5,NA())</f>
        <v>#N/A</v>
      </c>
      <c r="F26" s="9" t="e">
        <f>IF(' Fri '!I5&gt;0,' Fri '!I5,NA())</f>
        <v>#N/A</v>
      </c>
      <c r="G26" s="9" t="e">
        <f>IF(Sat!I5&gt;0,Sat!I5,NA())</f>
        <v>#N/A</v>
      </c>
      <c r="H26" s="9" t="e">
        <f>IF(Sun!I5&gt;0,Sun!I5,NA())</f>
        <v>#N/A</v>
      </c>
      <c r="J26" s="9">
        <v>300</v>
      </c>
      <c r="K26" s="9">
        <v>140</v>
      </c>
      <c r="L26" s="9">
        <v>80</v>
      </c>
      <c r="M26" s="10">
        <v>0.5</v>
      </c>
      <c r="N26" s="9" t="e">
        <f t="shared" si="0"/>
        <v>#N/A</v>
      </c>
      <c r="O26" s="9" t="e">
        <f t="shared" si="1"/>
        <v>#N/A</v>
      </c>
      <c r="P26" s="9" t="e">
        <f t="shared" si="2"/>
        <v>#N/A</v>
      </c>
      <c r="R26" s="10"/>
    </row>
    <row r="27" spans="1:24">
      <c r="A27" s="10">
        <v>0.51041666666666696</v>
      </c>
      <c r="B27" s="9" t="e">
        <f>IF(Mon!I6&gt;0,Mon!I6,NA())</f>
        <v>#N/A</v>
      </c>
      <c r="C27" s="9" t="e">
        <f>IF(Tues!I6&gt;0,Tues!I6,NA())</f>
        <v>#N/A</v>
      </c>
      <c r="D27" s="9" t="e">
        <f>IF(Wed!I6&gt;0,Wed!I6,NA())</f>
        <v>#N/A</v>
      </c>
      <c r="E27" s="9" t="e">
        <f>IF(Thurs!I6&gt;0,Thurs!I6,NA())</f>
        <v>#N/A</v>
      </c>
      <c r="F27" s="9" t="e">
        <f>IF(' Fri '!I6&gt;0,' Fri '!I6,NA())</f>
        <v>#N/A</v>
      </c>
      <c r="G27" s="9" t="e">
        <f>IF(Sat!I6&gt;0,Sat!I6,NA())</f>
        <v>#N/A</v>
      </c>
      <c r="H27" s="9" t="e">
        <f>IF(Sun!I6&gt;0,Sun!I6,NA())</f>
        <v>#N/A</v>
      </c>
      <c r="J27" s="9">
        <v>300</v>
      </c>
      <c r="K27" s="9">
        <v>140</v>
      </c>
      <c r="L27" s="9">
        <v>80</v>
      </c>
      <c r="M27" s="10">
        <v>0.51041666666666696</v>
      </c>
      <c r="N27" s="9" t="e">
        <f t="shared" si="0"/>
        <v>#N/A</v>
      </c>
      <c r="O27" s="9" t="e">
        <f t="shared" si="1"/>
        <v>#N/A</v>
      </c>
      <c r="P27" s="9" t="e">
        <f t="shared" si="2"/>
        <v>#N/A</v>
      </c>
      <c r="R27" s="10"/>
    </row>
    <row r="28" spans="1:24">
      <c r="A28" s="10">
        <v>0.52083333333333404</v>
      </c>
      <c r="B28" s="9" t="e">
        <f>IF(Mon!I7&gt;0,Mon!I7,NA())</f>
        <v>#N/A</v>
      </c>
      <c r="C28" s="9" t="e">
        <f>IF(Tues!I7&gt;0,Tues!I7,NA())</f>
        <v>#N/A</v>
      </c>
      <c r="D28" s="9" t="e">
        <f>IF(Wed!I7&gt;0,Wed!I7,NA())</f>
        <v>#N/A</v>
      </c>
      <c r="E28" s="9" t="e">
        <f>IF(Thurs!I7&gt;0,Thurs!I7,NA())</f>
        <v>#N/A</v>
      </c>
      <c r="F28" s="9" t="e">
        <f>IF(' Fri '!I7&gt;0,' Fri '!I7,NA())</f>
        <v>#N/A</v>
      </c>
      <c r="G28" s="9" t="e">
        <f>IF(Sat!I7&gt;0,Sat!I7,NA())</f>
        <v>#N/A</v>
      </c>
      <c r="H28" s="9" t="e">
        <f>IF(Sun!I7&gt;0,Sun!I7,NA())</f>
        <v>#N/A</v>
      </c>
      <c r="J28" s="9">
        <v>300</v>
      </c>
      <c r="K28" s="9">
        <v>140</v>
      </c>
      <c r="L28" s="9">
        <v>80</v>
      </c>
      <c r="M28" s="10">
        <v>0.52083333333333404</v>
      </c>
      <c r="N28" s="9" t="e">
        <f t="shared" si="0"/>
        <v>#N/A</v>
      </c>
      <c r="O28" s="9" t="e">
        <f t="shared" si="1"/>
        <v>#N/A</v>
      </c>
      <c r="P28" s="9" t="e">
        <f t="shared" si="2"/>
        <v>#N/A</v>
      </c>
      <c r="R28" s="10"/>
    </row>
    <row r="29" spans="1:24">
      <c r="A29" s="10">
        <v>0.53125</v>
      </c>
      <c r="B29" s="9" t="e">
        <f>IF(Mon!I8&gt;0,Mon!I8,NA())</f>
        <v>#N/A</v>
      </c>
      <c r="C29" s="9" t="e">
        <f>IF(Tues!I8&gt;0,Tues!I8,NA())</f>
        <v>#N/A</v>
      </c>
      <c r="D29" s="9" t="e">
        <f>IF(Wed!I8&gt;0,Wed!I8,NA())</f>
        <v>#N/A</v>
      </c>
      <c r="E29" s="9" t="e">
        <f>IF(Thurs!I8&gt;0,Thurs!I8,NA())</f>
        <v>#N/A</v>
      </c>
      <c r="F29" s="9" t="e">
        <f>IF(' Fri '!I8&gt;0,' Fri '!I8,NA())</f>
        <v>#N/A</v>
      </c>
      <c r="G29" s="9" t="e">
        <f>IF(Sat!I8&gt;0,Sat!I8,NA())</f>
        <v>#N/A</v>
      </c>
      <c r="H29" s="9" t="e">
        <f>IF(Sun!I8&gt;0,Sun!I8,NA())</f>
        <v>#N/A</v>
      </c>
      <c r="J29" s="9">
        <v>300</v>
      </c>
      <c r="K29" s="9">
        <v>140</v>
      </c>
      <c r="L29" s="9">
        <v>80</v>
      </c>
      <c r="M29" s="10">
        <v>0.53125</v>
      </c>
      <c r="N29" s="9" t="e">
        <f t="shared" si="0"/>
        <v>#N/A</v>
      </c>
      <c r="O29" s="9" t="e">
        <f t="shared" si="1"/>
        <v>#N/A</v>
      </c>
      <c r="P29" s="9" t="e">
        <f t="shared" si="2"/>
        <v>#N/A</v>
      </c>
      <c r="R29" s="10"/>
    </row>
    <row r="30" spans="1:24">
      <c r="A30" s="10">
        <v>0.54166666666666696</v>
      </c>
      <c r="B30" s="9" t="e">
        <f>IF(Mon!J5&gt;0,Mon!J5,NA())</f>
        <v>#N/A</v>
      </c>
      <c r="C30" s="9" t="e">
        <f>IF(Tues!J5&gt;0,Tues!J5,NA())</f>
        <v>#N/A</v>
      </c>
      <c r="D30" s="9" t="e">
        <f>IF(Wed!J5&gt;0,Wed!J5,NA())</f>
        <v>#N/A</v>
      </c>
      <c r="E30" s="9" t="e">
        <f>IF(Thurs!J5&gt;0,Thurs!J5,NA())</f>
        <v>#N/A</v>
      </c>
      <c r="F30" s="9" t="e">
        <f>IF(' Fri '!J5&gt;0,' Fri '!J5,NA())</f>
        <v>#N/A</v>
      </c>
      <c r="G30" s="9" t="e">
        <f>IF(Sat!J5&gt;0,Sat!J5,NA())</f>
        <v>#N/A</v>
      </c>
      <c r="H30" s="9" t="e">
        <f>IF(Sun!J5&gt;0,Sun!J5,NA())</f>
        <v>#N/A</v>
      </c>
      <c r="J30" s="9">
        <v>300</v>
      </c>
      <c r="K30" s="9">
        <v>140</v>
      </c>
      <c r="L30" s="9">
        <v>80</v>
      </c>
      <c r="M30" s="10">
        <v>0.54166666666666696</v>
      </c>
      <c r="N30" s="9" t="e">
        <f t="shared" si="0"/>
        <v>#N/A</v>
      </c>
      <c r="O30" s="9" t="e">
        <f t="shared" si="1"/>
        <v>#N/A</v>
      </c>
      <c r="P30" s="9" t="e">
        <f t="shared" si="2"/>
        <v>#N/A</v>
      </c>
      <c r="R30" s="10"/>
    </row>
    <row r="31" spans="1:24">
      <c r="A31" s="10">
        <v>0.55208333333333404</v>
      </c>
      <c r="B31" s="9" t="e">
        <f>IF(Mon!J6&gt;0,Mon!J6,NA())</f>
        <v>#N/A</v>
      </c>
      <c r="C31" s="9" t="e">
        <f>IF(Tues!J6&gt;0,Tues!J6,NA())</f>
        <v>#N/A</v>
      </c>
      <c r="D31" s="9" t="e">
        <f>IF(Wed!J6&gt;0,Wed!J6,NA())</f>
        <v>#N/A</v>
      </c>
      <c r="E31" s="9" t="e">
        <f>IF(Thurs!J6&gt;0,Thurs!J6,NA())</f>
        <v>#N/A</v>
      </c>
      <c r="F31" s="9" t="e">
        <f>IF(' Fri '!J6&gt;0,' Fri '!J6,NA())</f>
        <v>#N/A</v>
      </c>
      <c r="G31" s="9" t="e">
        <f>IF(Sat!J6&gt;0,Sat!J6,NA())</f>
        <v>#N/A</v>
      </c>
      <c r="H31" s="9" t="e">
        <f>IF(Sun!J6&gt;0,Sun!J6,NA())</f>
        <v>#N/A</v>
      </c>
      <c r="J31" s="9">
        <v>300</v>
      </c>
      <c r="K31" s="9">
        <v>140</v>
      </c>
      <c r="L31" s="9">
        <v>80</v>
      </c>
      <c r="M31" s="10">
        <v>0.55208333333333404</v>
      </c>
      <c r="N31" s="9" t="e">
        <f t="shared" si="0"/>
        <v>#N/A</v>
      </c>
      <c r="O31" s="9" t="e">
        <f t="shared" si="1"/>
        <v>#N/A</v>
      </c>
      <c r="P31" s="9" t="e">
        <f t="shared" si="2"/>
        <v>#N/A</v>
      </c>
      <c r="R31" s="10"/>
    </row>
    <row r="32" spans="1:24">
      <c r="A32" s="10">
        <v>0.562500000000001</v>
      </c>
      <c r="B32" s="9" t="e">
        <f>IF(Mon!J7&gt;0,Mon!J7,NA())</f>
        <v>#N/A</v>
      </c>
      <c r="C32" s="9" t="e">
        <f>IF(Tues!J7&gt;0,Tues!J7,NA())</f>
        <v>#N/A</v>
      </c>
      <c r="D32" s="9" t="e">
        <f>IF(Wed!J7&gt;0,Wed!J7,NA())</f>
        <v>#N/A</v>
      </c>
      <c r="E32" s="9" t="e">
        <f>IF(Thurs!J7&gt;0,Thurs!J7,NA())</f>
        <v>#N/A</v>
      </c>
      <c r="F32" s="9" t="e">
        <f>IF(' Fri '!J7&gt;0,' Fri '!J7,NA())</f>
        <v>#N/A</v>
      </c>
      <c r="G32" s="9" t="e">
        <f>IF(Sat!J7&gt;0,Sat!J7,NA())</f>
        <v>#N/A</v>
      </c>
      <c r="H32" s="9" t="e">
        <f>IF(Sun!J7&gt;0,Sun!J7,NA())</f>
        <v>#N/A</v>
      </c>
      <c r="J32" s="9">
        <v>300</v>
      </c>
      <c r="K32" s="9">
        <v>140</v>
      </c>
      <c r="L32" s="9">
        <v>80</v>
      </c>
      <c r="M32" s="10">
        <v>0.562500000000001</v>
      </c>
      <c r="N32" s="9" t="e">
        <f t="shared" si="0"/>
        <v>#N/A</v>
      </c>
      <c r="O32" s="9" t="e">
        <f t="shared" si="1"/>
        <v>#N/A</v>
      </c>
      <c r="P32" s="9" t="e">
        <f t="shared" si="2"/>
        <v>#N/A</v>
      </c>
      <c r="R32" s="10"/>
    </row>
    <row r="33" spans="1:18">
      <c r="A33" s="10">
        <v>0.57291666666666696</v>
      </c>
      <c r="B33" s="9" t="e">
        <f>IF(Mon!J8&gt;0,Mon!J8,NA())</f>
        <v>#N/A</v>
      </c>
      <c r="C33" s="9" t="e">
        <f>IF(Tues!J8&gt;0,Tues!J8,NA())</f>
        <v>#N/A</v>
      </c>
      <c r="D33" s="9" t="e">
        <f>IF(Wed!J8&gt;0,Wed!J8,NA())</f>
        <v>#N/A</v>
      </c>
      <c r="E33" s="9" t="e">
        <f>IF(Thurs!J8&gt;0,Thurs!J8,NA())</f>
        <v>#N/A</v>
      </c>
      <c r="F33" s="9" t="e">
        <f>IF(' Fri '!J8&gt;0,' Fri '!J8,NA())</f>
        <v>#N/A</v>
      </c>
      <c r="G33" s="9" t="e">
        <f>IF(Sat!J8&gt;0,Sat!J8,NA())</f>
        <v>#N/A</v>
      </c>
      <c r="H33" s="9" t="e">
        <f>IF(Sun!J8&gt;0,Sun!J8,NA())</f>
        <v>#N/A</v>
      </c>
      <c r="J33" s="9">
        <v>300</v>
      </c>
      <c r="K33" s="9">
        <v>140</v>
      </c>
      <c r="L33" s="9">
        <v>80</v>
      </c>
      <c r="M33" s="10">
        <v>0.57291666666666696</v>
      </c>
      <c r="N33" s="9" t="e">
        <f t="shared" si="0"/>
        <v>#N/A</v>
      </c>
      <c r="O33" s="9" t="e">
        <f t="shared" si="1"/>
        <v>#N/A</v>
      </c>
      <c r="P33" s="9" t="e">
        <f t="shared" si="2"/>
        <v>#N/A</v>
      </c>
      <c r="R33" s="10"/>
    </row>
    <row r="34" spans="1:18">
      <c r="A34" s="10">
        <v>0.58333333333333504</v>
      </c>
      <c r="B34" s="9" t="e">
        <f>IF(Mon!K5&gt;0,Mon!K5,NA())</f>
        <v>#N/A</v>
      </c>
      <c r="C34" s="9" t="e">
        <f>IF(Tues!K5&gt;0,Tues!K5,NA())</f>
        <v>#N/A</v>
      </c>
      <c r="D34" s="9" t="e">
        <f>IF(Wed!K5&gt;0,Wed!K5,NA())</f>
        <v>#N/A</v>
      </c>
      <c r="E34" s="9" t="e">
        <f>IF(Thurs!K5&gt;0,Thurs!K5,NA())</f>
        <v>#N/A</v>
      </c>
      <c r="F34" s="9" t="e">
        <f>IF(' Fri '!K5&gt;0,' Fri '!K5,NA())</f>
        <v>#N/A</v>
      </c>
      <c r="G34" s="9" t="e">
        <f>IF(Sat!K5&gt;0,Sat!K5,NA())</f>
        <v>#N/A</v>
      </c>
      <c r="H34" s="9" t="e">
        <f>IF(Sun!K5&gt;0,Sun!K5,NA())</f>
        <v>#N/A</v>
      </c>
      <c r="J34" s="9">
        <v>300</v>
      </c>
      <c r="K34" s="9">
        <v>140</v>
      </c>
      <c r="L34" s="9">
        <v>80</v>
      </c>
      <c r="M34" s="10">
        <v>0.58333333333333504</v>
      </c>
      <c r="N34" s="9" t="e">
        <f t="shared" si="0"/>
        <v>#N/A</v>
      </c>
      <c r="O34" s="9" t="e">
        <f t="shared" si="1"/>
        <v>#N/A</v>
      </c>
      <c r="P34" s="9" t="e">
        <f t="shared" si="2"/>
        <v>#N/A</v>
      </c>
      <c r="R34" s="10"/>
    </row>
    <row r="35" spans="1:18">
      <c r="A35" s="10">
        <v>0.593750000000002</v>
      </c>
      <c r="B35" s="9" t="e">
        <f>IF(Mon!K6&gt;0,Mon!K6,NA())</f>
        <v>#N/A</v>
      </c>
      <c r="C35" s="9" t="e">
        <f>IF(Tues!K6&gt;0,Tues!K6,NA())</f>
        <v>#N/A</v>
      </c>
      <c r="D35" s="9" t="e">
        <f>IF(Wed!K6&gt;0,Wed!K6,NA())</f>
        <v>#N/A</v>
      </c>
      <c r="E35" s="9" t="e">
        <f>IF(Thurs!K6&gt;0,Thurs!K6,NA())</f>
        <v>#N/A</v>
      </c>
      <c r="F35" s="9" t="e">
        <f>IF(' Fri '!K6&gt;0,' Fri '!K6,NA())</f>
        <v>#N/A</v>
      </c>
      <c r="G35" s="9" t="e">
        <f>IF(Sat!K6&gt;0,Sat!K6,NA())</f>
        <v>#N/A</v>
      </c>
      <c r="H35" s="9" t="e">
        <f>IF(Sun!K6&gt;0,Sun!K6,NA())</f>
        <v>#N/A</v>
      </c>
      <c r="J35" s="9">
        <v>300</v>
      </c>
      <c r="K35" s="9">
        <v>140</v>
      </c>
      <c r="L35" s="9">
        <v>80</v>
      </c>
      <c r="M35" s="10">
        <v>0.593750000000002</v>
      </c>
      <c r="N35" s="9" t="e">
        <f t="shared" si="0"/>
        <v>#N/A</v>
      </c>
      <c r="O35" s="9" t="e">
        <f t="shared" si="1"/>
        <v>#N/A</v>
      </c>
      <c r="P35" s="9" t="e">
        <f t="shared" si="2"/>
        <v>#N/A</v>
      </c>
      <c r="R35" s="10"/>
    </row>
    <row r="36" spans="1:18">
      <c r="A36" s="10">
        <v>0.60416666666666896</v>
      </c>
      <c r="B36" s="9" t="e">
        <f>IF(Mon!K7&gt;0,Mon!K7,NA())</f>
        <v>#N/A</v>
      </c>
      <c r="C36" s="9" t="e">
        <f>IF(Tues!K7&gt;0,Tues!K7,NA())</f>
        <v>#N/A</v>
      </c>
      <c r="D36" s="9" t="e">
        <f>IF(Wed!K7&gt;0,Wed!K7,NA())</f>
        <v>#N/A</v>
      </c>
      <c r="E36" s="9" t="e">
        <f>IF(Thurs!K7&gt;0,Thurs!K7,NA())</f>
        <v>#N/A</v>
      </c>
      <c r="F36" s="9" t="e">
        <f>IF(' Fri '!K7&gt;0,' Fri '!K7,NA())</f>
        <v>#N/A</v>
      </c>
      <c r="G36" s="9" t="e">
        <f>IF(Sat!K7&gt;0,Sat!K7,NA())</f>
        <v>#N/A</v>
      </c>
      <c r="H36" s="9" t="e">
        <f>IF(Sun!K7&gt;0,Sun!K7,NA())</f>
        <v>#N/A</v>
      </c>
      <c r="J36" s="9">
        <v>300</v>
      </c>
      <c r="K36" s="9">
        <v>140</v>
      </c>
      <c r="L36" s="9">
        <v>80</v>
      </c>
      <c r="M36" s="10">
        <v>0.60416666666666896</v>
      </c>
      <c r="N36" s="9" t="e">
        <f t="shared" si="0"/>
        <v>#N/A</v>
      </c>
      <c r="O36" s="9" t="e">
        <f t="shared" si="1"/>
        <v>#N/A</v>
      </c>
      <c r="P36" s="9" t="e">
        <f t="shared" si="2"/>
        <v>#N/A</v>
      </c>
      <c r="R36" s="10"/>
    </row>
    <row r="37" spans="1:18">
      <c r="A37" s="10">
        <v>0.61458333333333603</v>
      </c>
      <c r="B37" s="9" t="e">
        <f>IF(Mon!K8&gt;0,Mon!K8,NA())</f>
        <v>#N/A</v>
      </c>
      <c r="C37" s="9" t="e">
        <f>IF(Tues!K8&gt;0,Tues!K8,NA())</f>
        <v>#N/A</v>
      </c>
      <c r="D37" s="9" t="e">
        <f>IF(Wed!K8&gt;0,Wed!K8,NA())</f>
        <v>#N/A</v>
      </c>
      <c r="E37" s="9" t="e">
        <f>IF(Thurs!K8&gt;0,Thurs!K8,NA())</f>
        <v>#N/A</v>
      </c>
      <c r="F37" s="9" t="e">
        <f>IF(' Fri '!K8&gt;0,' Fri '!K8,NA())</f>
        <v>#N/A</v>
      </c>
      <c r="G37" s="9" t="e">
        <f>IF(Sat!K8&gt;0,Sat!K8,NA())</f>
        <v>#N/A</v>
      </c>
      <c r="H37" s="9" t="e">
        <f>IF(Sun!K8&gt;0,Sun!K8,NA())</f>
        <v>#N/A</v>
      </c>
      <c r="J37" s="9">
        <v>300</v>
      </c>
      <c r="K37" s="9">
        <v>140</v>
      </c>
      <c r="L37" s="9">
        <v>80</v>
      </c>
      <c r="M37" s="10">
        <v>0.61458333333333603</v>
      </c>
      <c r="N37" s="9" t="e">
        <f t="shared" si="0"/>
        <v>#N/A</v>
      </c>
      <c r="O37" s="9" t="e">
        <f t="shared" si="1"/>
        <v>#N/A</v>
      </c>
      <c r="P37" s="9" t="e">
        <f t="shared" si="2"/>
        <v>#N/A</v>
      </c>
      <c r="R37" s="10"/>
    </row>
    <row r="38" spans="1:18">
      <c r="A38" s="10">
        <v>0.625000000000004</v>
      </c>
      <c r="B38" s="9" t="e">
        <f>IF(Mon!L5&gt;0,Mon!L5,NA())</f>
        <v>#N/A</v>
      </c>
      <c r="C38" s="9" t="e">
        <f>IF(Tues!L5&gt;0,Tues!L5,NA())</f>
        <v>#N/A</v>
      </c>
      <c r="D38" s="9" t="e">
        <f>IF(Wed!L5&gt;0,Wed!L5,NA())</f>
        <v>#N/A</v>
      </c>
      <c r="E38" s="9" t="e">
        <f>IF(Thurs!L5&gt;0,Thurs!L5,NA())</f>
        <v>#N/A</v>
      </c>
      <c r="F38" s="9" t="e">
        <f>IF(' Fri '!L5&gt;0,' Fri '!L5,NA())</f>
        <v>#N/A</v>
      </c>
      <c r="G38" s="9" t="e">
        <f>IF(Sat!L5&gt;0,Sat!L5,NA())</f>
        <v>#N/A</v>
      </c>
      <c r="H38" s="9" t="e">
        <f>IF(Sun!L5&gt;0,Sun!L5,NA())</f>
        <v>#N/A</v>
      </c>
      <c r="J38" s="9">
        <v>300</v>
      </c>
      <c r="K38" s="9">
        <v>140</v>
      </c>
      <c r="L38" s="9">
        <v>80</v>
      </c>
      <c r="M38" s="10">
        <v>0.625000000000004</v>
      </c>
      <c r="N38" s="9" t="e">
        <f t="shared" si="0"/>
        <v>#N/A</v>
      </c>
      <c r="O38" s="9" t="e">
        <f t="shared" si="1"/>
        <v>#N/A</v>
      </c>
      <c r="P38" s="9" t="e">
        <f t="shared" si="2"/>
        <v>#N/A</v>
      </c>
      <c r="R38" s="10"/>
    </row>
    <row r="39" spans="1:18">
      <c r="A39" s="10">
        <v>0.63541666666667096</v>
      </c>
      <c r="B39" s="9" t="e">
        <f>IF(Mon!L6&gt;0,Mon!L6,NA())</f>
        <v>#N/A</v>
      </c>
      <c r="C39" s="9" t="e">
        <f>IF(Tues!L6&gt;0,Tues!L6,NA())</f>
        <v>#N/A</v>
      </c>
      <c r="D39" s="9" t="e">
        <f>IF(Wed!L6&gt;0,Wed!L6,NA())</f>
        <v>#N/A</v>
      </c>
      <c r="E39" s="9" t="e">
        <f>IF(Thurs!L6&gt;0,Thurs!L6,NA())</f>
        <v>#N/A</v>
      </c>
      <c r="F39" s="9" t="e">
        <f>IF(' Fri '!L6&gt;0,' Fri '!L6,NA())</f>
        <v>#N/A</v>
      </c>
      <c r="G39" s="9" t="e">
        <f>IF(Sat!L6&gt;0,Sat!L6,NA())</f>
        <v>#N/A</v>
      </c>
      <c r="H39" s="9" t="e">
        <f>IF(Sun!L6&gt;0,Sun!L6,NA())</f>
        <v>#N/A</v>
      </c>
      <c r="J39" s="9">
        <v>300</v>
      </c>
      <c r="K39" s="9">
        <v>140</v>
      </c>
      <c r="L39" s="9">
        <v>80</v>
      </c>
      <c r="M39" s="10">
        <v>0.63541666666667096</v>
      </c>
      <c r="N39" s="9" t="e">
        <f t="shared" si="0"/>
        <v>#N/A</v>
      </c>
      <c r="O39" s="9" t="e">
        <f t="shared" si="1"/>
        <v>#N/A</v>
      </c>
      <c r="P39" s="9" t="e">
        <f t="shared" si="2"/>
        <v>#N/A</v>
      </c>
      <c r="R39" s="10"/>
    </row>
    <row r="40" spans="1:18">
      <c r="A40" s="10">
        <v>0.64583333333333803</v>
      </c>
      <c r="B40" s="9" t="e">
        <f>IF(Mon!L7&gt;0,Mon!L7,NA())</f>
        <v>#N/A</v>
      </c>
      <c r="C40" s="9" t="e">
        <f>IF(Tues!L7&gt;0,Tues!L7,NA())</f>
        <v>#N/A</v>
      </c>
      <c r="D40" s="9" t="e">
        <f>IF(Wed!L7&gt;0,Wed!L7,NA())</f>
        <v>#N/A</v>
      </c>
      <c r="E40" s="9" t="e">
        <f>IF(Thurs!L7&gt;0,Thurs!L7,NA())</f>
        <v>#N/A</v>
      </c>
      <c r="F40" s="9" t="e">
        <f>IF(' Fri '!L7&gt;0,' Fri '!L7,NA())</f>
        <v>#N/A</v>
      </c>
      <c r="G40" s="9" t="e">
        <f>IF(Sat!L7&gt;0,Sat!L7,NA())</f>
        <v>#N/A</v>
      </c>
      <c r="H40" s="9" t="e">
        <f>IF(Sun!L7&gt;0,Sun!L7,NA())</f>
        <v>#N/A</v>
      </c>
      <c r="J40" s="9">
        <v>300</v>
      </c>
      <c r="K40" s="9">
        <v>140</v>
      </c>
      <c r="L40" s="9">
        <v>80</v>
      </c>
      <c r="M40" s="10">
        <v>0.64583333333333803</v>
      </c>
      <c r="N40" s="9" t="e">
        <f t="shared" si="0"/>
        <v>#N/A</v>
      </c>
      <c r="O40" s="9" t="e">
        <f t="shared" si="1"/>
        <v>#N/A</v>
      </c>
      <c r="P40" s="9" t="e">
        <f t="shared" si="2"/>
        <v>#N/A</v>
      </c>
      <c r="R40" s="10"/>
    </row>
    <row r="41" spans="1:18">
      <c r="A41" s="10">
        <v>0.656250000000005</v>
      </c>
      <c r="B41" s="9" t="e">
        <f>IF(Mon!L8&gt;0,Mon!L8,NA())</f>
        <v>#N/A</v>
      </c>
      <c r="C41" s="9" t="e">
        <f>IF(Tues!L8&gt;0,Tues!L8,NA())</f>
        <v>#N/A</v>
      </c>
      <c r="D41" s="9" t="e">
        <f>IF(Wed!L8&gt;0,Wed!L8,NA())</f>
        <v>#N/A</v>
      </c>
      <c r="E41" s="9" t="e">
        <f>IF(Thurs!L8&gt;0,Thurs!L8,NA())</f>
        <v>#N/A</v>
      </c>
      <c r="F41" s="9" t="e">
        <f>IF(' Fri '!L8&gt;0,' Fri '!L8,NA())</f>
        <v>#N/A</v>
      </c>
      <c r="G41" s="9" t="e">
        <f>IF(Sat!L8&gt;0,Sat!L8,NA())</f>
        <v>#N/A</v>
      </c>
      <c r="H41" s="9" t="e">
        <f>IF(Sun!L8&gt;0,Sun!L8,NA())</f>
        <v>#N/A</v>
      </c>
      <c r="J41" s="9">
        <v>300</v>
      </c>
      <c r="K41" s="9">
        <v>140</v>
      </c>
      <c r="L41" s="9">
        <v>80</v>
      </c>
      <c r="M41" s="10">
        <v>0.656250000000005</v>
      </c>
      <c r="N41" s="9" t="e">
        <f t="shared" si="0"/>
        <v>#N/A</v>
      </c>
      <c r="O41" s="9" t="e">
        <f t="shared" si="1"/>
        <v>#N/A</v>
      </c>
      <c r="P41" s="9" t="e">
        <f t="shared" si="2"/>
        <v>#N/A</v>
      </c>
      <c r="R41" s="10"/>
    </row>
    <row r="42" spans="1:18">
      <c r="A42" s="10">
        <v>0.66666666666667196</v>
      </c>
      <c r="B42" s="9" t="e">
        <f>IF(Mon!M5&gt;0,Mon!M5,NA())</f>
        <v>#N/A</v>
      </c>
      <c r="C42" s="9" t="e">
        <f>IF(Tues!M5&gt;0,Tues!M5,NA())</f>
        <v>#N/A</v>
      </c>
      <c r="D42" s="9" t="e">
        <f>IF(Wed!M5&gt;0,Wed!M5,NA())</f>
        <v>#N/A</v>
      </c>
      <c r="E42" s="9" t="e">
        <f>IF(Thurs!M5&gt;0,Thurs!M5,NA())</f>
        <v>#N/A</v>
      </c>
      <c r="F42" s="9" t="e">
        <f>IF(' Fri '!M5&gt;0,' Fri '!M5,NA())</f>
        <v>#N/A</v>
      </c>
      <c r="G42" s="9" t="e">
        <f>IF(Sat!M5&gt;0,Sat!M5,NA())</f>
        <v>#N/A</v>
      </c>
      <c r="H42" s="9" t="e">
        <f>IF(Sun!M5&gt;0,Sun!M5,NA())</f>
        <v>#N/A</v>
      </c>
      <c r="J42" s="9">
        <v>300</v>
      </c>
      <c r="K42" s="9">
        <v>140</v>
      </c>
      <c r="L42" s="9">
        <v>80</v>
      </c>
      <c r="M42" s="10">
        <v>0.66666666666667196</v>
      </c>
      <c r="N42" s="9" t="e">
        <f t="shared" si="0"/>
        <v>#N/A</v>
      </c>
      <c r="O42" s="9" t="e">
        <f t="shared" si="1"/>
        <v>#N/A</v>
      </c>
      <c r="P42" s="9" t="e">
        <f t="shared" si="2"/>
        <v>#N/A</v>
      </c>
      <c r="R42" s="10"/>
    </row>
    <row r="43" spans="1:18">
      <c r="A43" s="10">
        <v>0.67708333333333903</v>
      </c>
      <c r="B43" s="9" t="e">
        <f>IF(Mon!M6&gt;0,Mon!M6,NA())</f>
        <v>#N/A</v>
      </c>
      <c r="C43" s="9" t="e">
        <f>IF(Tues!M6&gt;0,Tues!M6,NA())</f>
        <v>#N/A</v>
      </c>
      <c r="D43" s="9" t="e">
        <f>IF(Wed!M6&gt;0,Wed!M6,NA())</f>
        <v>#N/A</v>
      </c>
      <c r="E43" s="9" t="e">
        <f>IF(Thurs!M6&gt;0,Thurs!M6,NA())</f>
        <v>#N/A</v>
      </c>
      <c r="F43" s="9" t="e">
        <f>IF(' Fri '!M6&gt;0,' Fri '!M6,NA())</f>
        <v>#N/A</v>
      </c>
      <c r="G43" s="9" t="e">
        <f>IF(Sat!M6&gt;0,Sat!M6,NA())</f>
        <v>#N/A</v>
      </c>
      <c r="H43" s="9" t="e">
        <f>IF(Sun!M6&gt;0,Sun!M6,NA())</f>
        <v>#N/A</v>
      </c>
      <c r="J43" s="9">
        <v>300</v>
      </c>
      <c r="K43" s="9">
        <v>140</v>
      </c>
      <c r="L43" s="9">
        <v>80</v>
      </c>
      <c r="M43" s="10">
        <v>0.67708333333333903</v>
      </c>
      <c r="N43" s="9" t="e">
        <f t="shared" si="0"/>
        <v>#N/A</v>
      </c>
      <c r="O43" s="9" t="e">
        <f t="shared" si="1"/>
        <v>#N/A</v>
      </c>
      <c r="P43" s="9" t="e">
        <f t="shared" si="2"/>
        <v>#N/A</v>
      </c>
      <c r="R43" s="10"/>
    </row>
    <row r="44" spans="1:18">
      <c r="A44" s="10">
        <v>0.687500000000006</v>
      </c>
      <c r="B44" s="9" t="e">
        <f>IF(Mon!M7&gt;0,Mon!M7,NA())</f>
        <v>#N/A</v>
      </c>
      <c r="C44" s="9" t="e">
        <f>IF(Tues!M7&gt;0,Tues!M7,NA())</f>
        <v>#N/A</v>
      </c>
      <c r="D44" s="9" t="e">
        <f>IF(Wed!M7&gt;0,Wed!M7,NA())</f>
        <v>#N/A</v>
      </c>
      <c r="E44" s="9" t="e">
        <f>IF(Thurs!M7&gt;0,Thurs!M7,NA())</f>
        <v>#N/A</v>
      </c>
      <c r="F44" s="9" t="e">
        <f>IF(' Fri '!M7&gt;0,' Fri '!M7,NA())</f>
        <v>#N/A</v>
      </c>
      <c r="G44" s="9" t="e">
        <f>IF(Sat!M7&gt;0,Sat!M7,NA())</f>
        <v>#N/A</v>
      </c>
      <c r="H44" s="9" t="e">
        <f>IF(Sun!M7&gt;0,Sun!M7,NA())</f>
        <v>#N/A</v>
      </c>
      <c r="J44" s="9">
        <v>300</v>
      </c>
      <c r="K44" s="9">
        <v>140</v>
      </c>
      <c r="L44" s="9">
        <v>80</v>
      </c>
      <c r="M44" s="10">
        <v>0.687500000000006</v>
      </c>
      <c r="N44" s="9" t="e">
        <f t="shared" si="0"/>
        <v>#N/A</v>
      </c>
      <c r="O44" s="9" t="e">
        <f t="shared" si="1"/>
        <v>#N/A</v>
      </c>
      <c r="P44" s="9" t="e">
        <f t="shared" si="2"/>
        <v>#N/A</v>
      </c>
      <c r="R44" s="10"/>
    </row>
    <row r="45" spans="1:18">
      <c r="A45" s="10">
        <v>0.69791666666667296</v>
      </c>
      <c r="B45" s="9" t="e">
        <f>IF(Mon!M8&gt;0,Mon!M8,NA())</f>
        <v>#N/A</v>
      </c>
      <c r="C45" s="9" t="e">
        <f>IF(Tues!M8&gt;0,Tues!M8,NA())</f>
        <v>#N/A</v>
      </c>
      <c r="D45" s="9" t="e">
        <f>IF(Wed!M8&gt;0,Wed!M8,NA())</f>
        <v>#N/A</v>
      </c>
      <c r="E45" s="9" t="e">
        <f>IF(Thurs!M8&gt;0,Thurs!M8,NA())</f>
        <v>#N/A</v>
      </c>
      <c r="F45" s="9" t="e">
        <f>IF(' Fri '!M8&gt;0,' Fri '!M8,NA())</f>
        <v>#N/A</v>
      </c>
      <c r="G45" s="9" t="e">
        <f>IF(Sat!M8&gt;0,Sat!M8,NA())</f>
        <v>#N/A</v>
      </c>
      <c r="H45" s="9" t="e">
        <f>IF(Sun!M8&gt;0,Sun!M8,NA())</f>
        <v>#N/A</v>
      </c>
      <c r="J45" s="9">
        <v>300</v>
      </c>
      <c r="K45" s="9">
        <v>140</v>
      </c>
      <c r="L45" s="9">
        <v>80</v>
      </c>
      <c r="M45" s="10">
        <v>0.69791666666667296</v>
      </c>
      <c r="N45" s="9" t="e">
        <f t="shared" si="0"/>
        <v>#N/A</v>
      </c>
      <c r="O45" s="9" t="e">
        <f t="shared" si="1"/>
        <v>#N/A</v>
      </c>
      <c r="P45" s="9" t="e">
        <f t="shared" si="2"/>
        <v>#N/A</v>
      </c>
      <c r="R45" s="10"/>
    </row>
    <row r="46" spans="1:18">
      <c r="A46" s="10">
        <v>0.70833333333334003</v>
      </c>
      <c r="B46" s="9" t="e">
        <f>IF(Mon!N5&gt;0,Mon!N5,NA())</f>
        <v>#N/A</v>
      </c>
      <c r="C46" s="9" t="e">
        <f>IF(Tues!N5&gt;0,Tues!N5,NA())</f>
        <v>#N/A</v>
      </c>
      <c r="D46" s="9" t="e">
        <f>IF(Wed!N5&gt;0,Wed!N5,NA())</f>
        <v>#N/A</v>
      </c>
      <c r="E46" s="9" t="e">
        <f>IF(Thurs!N5&gt;0,Thurs!N5,NA())</f>
        <v>#N/A</v>
      </c>
      <c r="F46" s="9" t="e">
        <f>IF(' Fri '!N5&gt;0,' Fri '!N5,NA())</f>
        <v>#N/A</v>
      </c>
      <c r="G46" s="9" t="e">
        <f>IF(Sat!N5&gt;0,Sat!N5,NA())</f>
        <v>#N/A</v>
      </c>
      <c r="H46" s="9" t="e">
        <f>IF(Sun!N5&gt;0,Sun!N5,NA())</f>
        <v>#N/A</v>
      </c>
      <c r="J46" s="9">
        <v>300</v>
      </c>
      <c r="K46" s="9">
        <v>140</v>
      </c>
      <c r="L46" s="9">
        <v>80</v>
      </c>
      <c r="M46" s="10">
        <v>0.70833333333334003</v>
      </c>
      <c r="N46" s="9" t="e">
        <f t="shared" si="0"/>
        <v>#N/A</v>
      </c>
      <c r="O46" s="9" t="e">
        <f t="shared" si="1"/>
        <v>#N/A</v>
      </c>
      <c r="P46" s="9" t="e">
        <f t="shared" si="2"/>
        <v>#N/A</v>
      </c>
      <c r="R46" s="10"/>
    </row>
    <row r="47" spans="1:18">
      <c r="A47" s="10">
        <v>0.71875000000000699</v>
      </c>
      <c r="B47" s="9" t="e">
        <f>IF(Mon!N6&gt;0,Mon!N6,NA())</f>
        <v>#N/A</v>
      </c>
      <c r="C47" s="9" t="e">
        <f>IF(Tues!N6&gt;0,Tues!N6,NA())</f>
        <v>#N/A</v>
      </c>
      <c r="D47" s="9" t="e">
        <f>IF(Wed!N6&gt;0,Wed!N6,NA())</f>
        <v>#N/A</v>
      </c>
      <c r="E47" s="9" t="e">
        <f>IF(Thurs!N6&gt;0,Thurs!N6,NA())</f>
        <v>#N/A</v>
      </c>
      <c r="F47" s="9" t="e">
        <f>IF(' Fri '!N6&gt;0,' Fri '!N6,NA())</f>
        <v>#N/A</v>
      </c>
      <c r="G47" s="9" t="e">
        <f>IF(Sat!N6&gt;0,Sat!N6,NA())</f>
        <v>#N/A</v>
      </c>
      <c r="H47" s="9" t="e">
        <f>IF(Sun!N6&gt;0,Sun!N6,NA())</f>
        <v>#N/A</v>
      </c>
      <c r="J47" s="9">
        <v>300</v>
      </c>
      <c r="K47" s="9">
        <v>140</v>
      </c>
      <c r="L47" s="9">
        <v>80</v>
      </c>
      <c r="M47" s="10">
        <v>0.71875000000000699</v>
      </c>
      <c r="N47" s="9" t="e">
        <f t="shared" si="0"/>
        <v>#N/A</v>
      </c>
      <c r="O47" s="9" t="e">
        <f t="shared" si="1"/>
        <v>#N/A</v>
      </c>
      <c r="P47" s="9" t="e">
        <f t="shared" si="2"/>
        <v>#N/A</v>
      </c>
      <c r="R47" s="10"/>
    </row>
    <row r="48" spans="1:18">
      <c r="A48" s="10">
        <v>0.72916666666667396</v>
      </c>
      <c r="B48" s="9" t="e">
        <f>IF(Mon!N7&gt;0,Mon!N7,NA())</f>
        <v>#N/A</v>
      </c>
      <c r="C48" s="9" t="e">
        <f>IF(Tues!N7&gt;0,Tues!N7,NA())</f>
        <v>#N/A</v>
      </c>
      <c r="D48" s="9" t="e">
        <f>IF(Wed!N7&gt;0,Wed!N7,NA())</f>
        <v>#N/A</v>
      </c>
      <c r="E48" s="9" t="e">
        <f>IF(Thurs!N7&gt;0,Thurs!N7,NA())</f>
        <v>#N/A</v>
      </c>
      <c r="F48" s="9" t="e">
        <f>IF(' Fri '!N7&gt;0,' Fri '!N7,NA())</f>
        <v>#N/A</v>
      </c>
      <c r="G48" s="9" t="e">
        <f>IF(Sat!N7&gt;0,Sat!N7,NA())</f>
        <v>#N/A</v>
      </c>
      <c r="H48" s="9" t="e">
        <f>IF(Sun!N7&gt;0,Sun!N7,NA())</f>
        <v>#N/A</v>
      </c>
      <c r="J48" s="9">
        <v>300</v>
      </c>
      <c r="K48" s="9">
        <v>140</v>
      </c>
      <c r="L48" s="9">
        <v>80</v>
      </c>
      <c r="M48" s="10">
        <v>0.72916666666667396</v>
      </c>
      <c r="N48" s="9" t="e">
        <f t="shared" si="0"/>
        <v>#N/A</v>
      </c>
      <c r="O48" s="9" t="e">
        <f t="shared" si="1"/>
        <v>#N/A</v>
      </c>
      <c r="P48" s="9" t="e">
        <f t="shared" si="2"/>
        <v>#N/A</v>
      </c>
      <c r="R48" s="10"/>
    </row>
    <row r="49" spans="1:18">
      <c r="A49" s="10">
        <v>0.73958333333334103</v>
      </c>
      <c r="B49" s="9" t="e">
        <f>IF(Mon!N8&gt;0,Mon!N8,NA())</f>
        <v>#N/A</v>
      </c>
      <c r="C49" s="9" t="e">
        <f>IF(Tues!N8&gt;0,Tues!N8,NA())</f>
        <v>#N/A</v>
      </c>
      <c r="D49" s="9" t="e">
        <f>IF(Wed!N8&gt;0,Wed!N8,NA())</f>
        <v>#N/A</v>
      </c>
      <c r="E49" s="9" t="e">
        <f>IF(Thurs!N8&gt;0,Thurs!N8,NA())</f>
        <v>#N/A</v>
      </c>
      <c r="F49" s="9" t="e">
        <f>IF(' Fri '!N8&gt;0,' Fri '!N8,NA())</f>
        <v>#N/A</v>
      </c>
      <c r="G49" s="9" t="e">
        <f>IF(Sat!N8&gt;0,Sat!N8,NA())</f>
        <v>#N/A</v>
      </c>
      <c r="H49" s="9" t="e">
        <f>IF(Sun!N8&gt;0,Sun!N8,NA())</f>
        <v>#N/A</v>
      </c>
      <c r="J49" s="9">
        <v>300</v>
      </c>
      <c r="K49" s="9">
        <v>140</v>
      </c>
      <c r="L49" s="9">
        <v>80</v>
      </c>
      <c r="M49" s="10">
        <v>0.73958333333334103</v>
      </c>
      <c r="N49" s="9" t="e">
        <f t="shared" si="0"/>
        <v>#N/A</v>
      </c>
      <c r="O49" s="9" t="e">
        <f t="shared" si="1"/>
        <v>#N/A</v>
      </c>
      <c r="P49" s="9" t="e">
        <f t="shared" si="2"/>
        <v>#N/A</v>
      </c>
      <c r="R49" s="10"/>
    </row>
    <row r="50" spans="1:18">
      <c r="A50" s="10">
        <v>0.75000000000000799</v>
      </c>
      <c r="B50" s="9" t="e">
        <f>IF(Mon!O5&gt;0,Mon!O5,NA())</f>
        <v>#N/A</v>
      </c>
      <c r="C50" s="9" t="e">
        <f>IF(Tues!O5&gt;0,Tues!O5,NA())</f>
        <v>#N/A</v>
      </c>
      <c r="D50" s="9" t="e">
        <f>IF(Wed!O5&gt;0,Wed!O5,NA())</f>
        <v>#N/A</v>
      </c>
      <c r="E50" s="9" t="e">
        <f>IF(Thurs!O5&gt;0,Thurs!O5,NA())</f>
        <v>#N/A</v>
      </c>
      <c r="F50" s="9" t="e">
        <f>IF(' Fri '!O5&gt;0,' Fri '!O5,NA())</f>
        <v>#N/A</v>
      </c>
      <c r="G50" s="9" t="e">
        <f>IF(Sat!O5&gt;0,Sat!O5,NA())</f>
        <v>#N/A</v>
      </c>
      <c r="H50" s="9" t="e">
        <f>IF(Sun!O5&gt;0,Sun!O5,NA())</f>
        <v>#N/A</v>
      </c>
      <c r="J50" s="9">
        <v>300</v>
      </c>
      <c r="K50" s="9">
        <v>140</v>
      </c>
      <c r="L50" s="9">
        <v>80</v>
      </c>
      <c r="M50" s="10">
        <v>0.75000000000000799</v>
      </c>
      <c r="N50" s="9" t="e">
        <f t="shared" si="0"/>
        <v>#N/A</v>
      </c>
      <c r="O50" s="9" t="e">
        <f t="shared" si="1"/>
        <v>#N/A</v>
      </c>
      <c r="P50" s="9" t="e">
        <f t="shared" si="2"/>
        <v>#N/A</v>
      </c>
      <c r="R50" s="10"/>
    </row>
    <row r="51" spans="1:18">
      <c r="A51" s="10">
        <v>0.76041666666667596</v>
      </c>
      <c r="B51" s="9" t="e">
        <f>IF(Mon!O6&gt;0,Mon!O6,NA())</f>
        <v>#N/A</v>
      </c>
      <c r="C51" s="9" t="e">
        <f>IF(Tues!O6&gt;0,Tues!O6,NA())</f>
        <v>#N/A</v>
      </c>
      <c r="D51" s="9" t="e">
        <f>IF(Wed!O6&gt;0,Wed!O6,NA())</f>
        <v>#N/A</v>
      </c>
      <c r="E51" s="9" t="e">
        <f>IF(Thurs!O6&gt;0,Thurs!O6,NA())</f>
        <v>#N/A</v>
      </c>
      <c r="F51" s="9" t="e">
        <f>IF(' Fri '!O6&gt;0,' Fri '!O6,NA())</f>
        <v>#N/A</v>
      </c>
      <c r="G51" s="9" t="e">
        <f>IF(Sat!O6&gt;0,Sat!O6,NA())</f>
        <v>#N/A</v>
      </c>
      <c r="H51" s="9" t="e">
        <f>IF(Sun!O6&gt;0,Sun!O6,NA())</f>
        <v>#N/A</v>
      </c>
      <c r="J51" s="9">
        <v>300</v>
      </c>
      <c r="K51" s="9">
        <v>140</v>
      </c>
      <c r="L51" s="9">
        <v>80</v>
      </c>
      <c r="M51" s="10">
        <v>0.76041666666667596</v>
      </c>
      <c r="N51" s="9" t="e">
        <f t="shared" si="0"/>
        <v>#N/A</v>
      </c>
      <c r="O51" s="9" t="e">
        <f t="shared" si="1"/>
        <v>#N/A</v>
      </c>
      <c r="P51" s="9" t="e">
        <f t="shared" si="2"/>
        <v>#N/A</v>
      </c>
      <c r="R51" s="10"/>
    </row>
    <row r="52" spans="1:18">
      <c r="A52" s="10">
        <v>0.77083333333334303</v>
      </c>
      <c r="B52" s="9" t="e">
        <f>IF(Mon!O7&gt;0,Mon!O7,NA())</f>
        <v>#N/A</v>
      </c>
      <c r="C52" s="9" t="e">
        <f>IF(Tues!O7&gt;0,Tues!O7,NA())</f>
        <v>#N/A</v>
      </c>
      <c r="D52" s="9" t="e">
        <f>IF(Wed!O7&gt;0,Wed!O7,NA())</f>
        <v>#N/A</v>
      </c>
      <c r="E52" s="9" t="e">
        <f>IF(Thurs!O7&gt;0,Thurs!O7,NA())</f>
        <v>#N/A</v>
      </c>
      <c r="F52" s="9" t="e">
        <f>IF(' Fri '!O7&gt;0,' Fri '!O7,NA())</f>
        <v>#N/A</v>
      </c>
      <c r="G52" s="9" t="e">
        <f>IF(Sat!O7&gt;0,Sat!O7,NA())</f>
        <v>#N/A</v>
      </c>
      <c r="H52" s="9" t="e">
        <f>IF(Sun!O7&gt;0,Sun!O7,NA())</f>
        <v>#N/A</v>
      </c>
      <c r="J52" s="9">
        <v>300</v>
      </c>
      <c r="K52" s="9">
        <v>140</v>
      </c>
      <c r="L52" s="9">
        <v>80</v>
      </c>
      <c r="M52" s="10">
        <v>0.77083333333334303</v>
      </c>
      <c r="N52" s="9" t="e">
        <f t="shared" si="0"/>
        <v>#N/A</v>
      </c>
      <c r="O52" s="9" t="e">
        <f t="shared" si="1"/>
        <v>#N/A</v>
      </c>
      <c r="P52" s="9" t="e">
        <f t="shared" si="2"/>
        <v>#N/A</v>
      </c>
      <c r="R52" s="10"/>
    </row>
    <row r="53" spans="1:18">
      <c r="A53" s="10">
        <v>0.78125000000000999</v>
      </c>
      <c r="B53" s="9" t="e">
        <f>IF(Mon!O8&gt;0,Mon!O8,NA())</f>
        <v>#N/A</v>
      </c>
      <c r="C53" s="9" t="e">
        <f>IF(Tues!O8&gt;0,Tues!O8,NA())</f>
        <v>#N/A</v>
      </c>
      <c r="D53" s="9" t="e">
        <f>IF(Wed!O8&gt;0,Wed!O8,NA())</f>
        <v>#N/A</v>
      </c>
      <c r="E53" s="9" t="e">
        <f>IF(Thurs!O8&gt;0,Thurs!O8,NA())</f>
        <v>#N/A</v>
      </c>
      <c r="F53" s="9" t="e">
        <f>IF(' Fri '!O8&gt;0,' Fri '!O8,NA())</f>
        <v>#N/A</v>
      </c>
      <c r="G53" s="9" t="e">
        <f>IF(Sat!O8&gt;0,Sat!O8,NA())</f>
        <v>#N/A</v>
      </c>
      <c r="H53" s="9" t="e">
        <f>IF(Sun!O8&gt;0,Sun!O8,NA())</f>
        <v>#N/A</v>
      </c>
      <c r="J53" s="9">
        <v>300</v>
      </c>
      <c r="K53" s="9">
        <v>140</v>
      </c>
      <c r="L53" s="9">
        <v>80</v>
      </c>
      <c r="M53" s="10">
        <v>0.78125000000000999</v>
      </c>
      <c r="N53" s="9" t="e">
        <f t="shared" si="0"/>
        <v>#N/A</v>
      </c>
      <c r="O53" s="9" t="e">
        <f t="shared" si="1"/>
        <v>#N/A</v>
      </c>
      <c r="P53" s="9" t="e">
        <f t="shared" si="2"/>
        <v>#N/A</v>
      </c>
      <c r="R53" s="10"/>
    </row>
    <row r="54" spans="1:18">
      <c r="A54" s="10">
        <v>0.79166666666667695</v>
      </c>
      <c r="B54" s="9" t="e">
        <f>IF(Mon!P5&gt;0, Mon!P5,NA())</f>
        <v>#N/A</v>
      </c>
      <c r="C54" s="9" t="e">
        <f>IF(Tues!P5&gt;0, Tues!P5,NA())</f>
        <v>#N/A</v>
      </c>
      <c r="D54" s="9" t="e">
        <f>IF(Wed!P5&gt;0, Wed!P5,NA())</f>
        <v>#N/A</v>
      </c>
      <c r="E54" s="9" t="e">
        <f>IF(Thurs!P5&gt;0, Thurs!P5,NA())</f>
        <v>#N/A</v>
      </c>
      <c r="F54" s="9" t="e">
        <f>IF(' Fri '!P5&gt;0, ' Fri '!P5,NA())</f>
        <v>#N/A</v>
      </c>
      <c r="G54" s="9" t="e">
        <f>IF(Sat!P5&gt;0, Sat!P5,NA())</f>
        <v>#N/A</v>
      </c>
      <c r="H54" s="9" t="e">
        <f>IF(Sun!P5&gt;0, Sun!P5,NA())</f>
        <v>#N/A</v>
      </c>
      <c r="J54" s="9">
        <v>300</v>
      </c>
      <c r="K54" s="9">
        <v>140</v>
      </c>
      <c r="L54" s="9">
        <v>80</v>
      </c>
      <c r="M54" s="10">
        <v>0.79166666666667695</v>
      </c>
      <c r="N54" s="9" t="e">
        <f t="shared" si="0"/>
        <v>#N/A</v>
      </c>
      <c r="O54" s="9" t="e">
        <f t="shared" si="1"/>
        <v>#N/A</v>
      </c>
      <c r="P54" s="9" t="e">
        <f t="shared" si="2"/>
        <v>#N/A</v>
      </c>
      <c r="R54" s="10"/>
    </row>
    <row r="55" spans="1:18">
      <c r="A55" s="10">
        <v>0.80208333333334403</v>
      </c>
      <c r="B55" s="9" t="e">
        <f>IF(Mon!P6&gt;0, Mon!P6,NA())</f>
        <v>#N/A</v>
      </c>
      <c r="C55" s="9" t="e">
        <f>IF(Tues!P6&gt;0, Tues!P6,NA())</f>
        <v>#N/A</v>
      </c>
      <c r="D55" s="9" t="e">
        <f>IF(Wed!P6&gt;0, Wed!P6,NA())</f>
        <v>#N/A</v>
      </c>
      <c r="E55" s="9" t="e">
        <f>IF(Thurs!P6&gt;0, Thurs!P6,NA())</f>
        <v>#N/A</v>
      </c>
      <c r="F55" s="9" t="e">
        <f>IF(' Fri '!P6&gt;0, ' Fri '!P6,NA())</f>
        <v>#N/A</v>
      </c>
      <c r="G55" s="9" t="e">
        <f>IF(Sat!P6&gt;0, Sat!P6,NA())</f>
        <v>#N/A</v>
      </c>
      <c r="H55" s="9" t="e">
        <f>IF(Sun!P6&gt;0, Sun!P6,NA())</f>
        <v>#N/A</v>
      </c>
      <c r="J55" s="9">
        <v>300</v>
      </c>
      <c r="K55" s="9">
        <v>140</v>
      </c>
      <c r="L55" s="9">
        <v>80</v>
      </c>
      <c r="M55" s="10">
        <v>0.80208333333334403</v>
      </c>
      <c r="N55" s="9" t="e">
        <f t="shared" si="0"/>
        <v>#N/A</v>
      </c>
      <c r="O55" s="9" t="e">
        <f t="shared" si="1"/>
        <v>#N/A</v>
      </c>
      <c r="P55" s="9" t="e">
        <f t="shared" si="2"/>
        <v>#N/A</v>
      </c>
      <c r="R55" s="10"/>
    </row>
    <row r="56" spans="1:18">
      <c r="A56" s="10">
        <v>0.81250000000001099</v>
      </c>
      <c r="B56" s="9" t="e">
        <f>IF(Mon!P7&gt;0, Mon!P7,NA())</f>
        <v>#N/A</v>
      </c>
      <c r="C56" s="9" t="e">
        <f>IF(Tues!P7&gt;0, Tues!P7,NA())</f>
        <v>#N/A</v>
      </c>
      <c r="D56" s="9" t="e">
        <f>IF(Wed!P7&gt;0, Wed!P7,NA())</f>
        <v>#N/A</v>
      </c>
      <c r="E56" s="9" t="e">
        <f>IF(Thurs!P7&gt;0, Thurs!P7,NA())</f>
        <v>#N/A</v>
      </c>
      <c r="F56" s="9" t="e">
        <f>IF(' Fri '!P7&gt;0, ' Fri '!P7,NA())</f>
        <v>#N/A</v>
      </c>
      <c r="G56" s="9" t="e">
        <f>IF(Sat!P7&gt;0, Sat!P7,NA())</f>
        <v>#N/A</v>
      </c>
      <c r="H56" s="9" t="e">
        <f>IF(Sun!P7&gt;0, Sun!P7,NA())</f>
        <v>#N/A</v>
      </c>
      <c r="J56" s="9">
        <v>300</v>
      </c>
      <c r="K56" s="9">
        <v>140</v>
      </c>
      <c r="L56" s="9">
        <v>80</v>
      </c>
      <c r="M56" s="10">
        <v>0.81250000000001099</v>
      </c>
      <c r="N56" s="9" t="e">
        <f t="shared" si="0"/>
        <v>#N/A</v>
      </c>
      <c r="O56" s="9" t="e">
        <f t="shared" si="1"/>
        <v>#N/A</v>
      </c>
      <c r="P56" s="9" t="e">
        <f t="shared" si="2"/>
        <v>#N/A</v>
      </c>
      <c r="R56" s="10"/>
    </row>
    <row r="57" spans="1:18">
      <c r="A57" s="10">
        <v>0.82291666666667795</v>
      </c>
      <c r="B57" s="9" t="e">
        <f>IF(Mon!P8&gt;0, Mon!P8,NA())</f>
        <v>#N/A</v>
      </c>
      <c r="C57" s="9" t="e">
        <f>IF(Tues!P8&gt;0, Tues!P8,NA())</f>
        <v>#N/A</v>
      </c>
      <c r="D57" s="9" t="e">
        <f>IF(Wed!P8&gt;0, Wed!P8,NA())</f>
        <v>#N/A</v>
      </c>
      <c r="E57" s="9" t="e">
        <f>IF(Thurs!P8&gt;0, Thurs!P8,NA())</f>
        <v>#N/A</v>
      </c>
      <c r="F57" s="9" t="e">
        <f>IF(' Fri '!P8&gt;0, ' Fri '!P8,NA())</f>
        <v>#N/A</v>
      </c>
      <c r="G57" s="9" t="e">
        <f>IF(Sat!P8&gt;0, Sat!P8,NA())</f>
        <v>#N/A</v>
      </c>
      <c r="H57" s="9" t="e">
        <f>IF(Sun!P8&gt;0, Sun!P8,NA())</f>
        <v>#N/A</v>
      </c>
      <c r="J57" s="9">
        <v>300</v>
      </c>
      <c r="K57" s="9">
        <v>140</v>
      </c>
      <c r="L57" s="9">
        <v>80</v>
      </c>
      <c r="M57" s="10">
        <v>0.82291666666667795</v>
      </c>
      <c r="N57" s="9" t="e">
        <f t="shared" si="0"/>
        <v>#N/A</v>
      </c>
      <c r="O57" s="9" t="e">
        <f t="shared" si="1"/>
        <v>#N/A</v>
      </c>
      <c r="P57" s="9" t="e">
        <f t="shared" si="2"/>
        <v>#N/A</v>
      </c>
      <c r="R57" s="10"/>
    </row>
    <row r="58" spans="1:18">
      <c r="A58" s="10">
        <v>0.83333333333334503</v>
      </c>
      <c r="B58" s="9" t="e">
        <f>IF(Mon!Q5&gt;0,Mon!Q5,NA())</f>
        <v>#N/A</v>
      </c>
      <c r="C58" s="9" t="e">
        <f>IF(Tues!Q5&gt;0,Tues!Q5,NA())</f>
        <v>#N/A</v>
      </c>
      <c r="D58" s="9" t="e">
        <f>IF(Wed!Q5&gt;0,Wed!Q5,NA())</f>
        <v>#N/A</v>
      </c>
      <c r="E58" s="9" t="e">
        <f>IF(Thurs!Q5&gt;0,Thurs!Q5,NA())</f>
        <v>#N/A</v>
      </c>
      <c r="F58" s="9" t="e">
        <f>IF(' Fri '!Q5&gt;0,' Fri '!Q5,NA())</f>
        <v>#N/A</v>
      </c>
      <c r="G58" s="9" t="e">
        <f>IF(Sat!Q5&gt;0,Sat!Q5,NA())</f>
        <v>#N/A</v>
      </c>
      <c r="H58" s="9" t="e">
        <f>IF(Sun!Q5&gt;0,Sun!Q5,NA())</f>
        <v>#N/A</v>
      </c>
      <c r="J58" s="9">
        <v>300</v>
      </c>
      <c r="K58" s="9">
        <v>140</v>
      </c>
      <c r="L58" s="9">
        <v>80</v>
      </c>
      <c r="M58" s="10">
        <v>0.83333333333334503</v>
      </c>
      <c r="N58" s="9" t="e">
        <f t="shared" si="0"/>
        <v>#N/A</v>
      </c>
      <c r="O58" s="9" t="e">
        <f t="shared" si="1"/>
        <v>#N/A</v>
      </c>
      <c r="P58" s="9" t="e">
        <f t="shared" si="2"/>
        <v>#N/A</v>
      </c>
      <c r="R58" s="10"/>
    </row>
    <row r="59" spans="1:18">
      <c r="A59" s="10">
        <v>0.84375000000001199</v>
      </c>
      <c r="B59" s="9" t="e">
        <f>IF(Mon!Q6&gt;0,Mon!Q6,NA())</f>
        <v>#N/A</v>
      </c>
      <c r="C59" s="9" t="e">
        <f>IF(Tues!Q6&gt;0,Tues!Q6,NA())</f>
        <v>#N/A</v>
      </c>
      <c r="D59" s="9" t="e">
        <f>IF(Wed!Q6&gt;0,Wed!Q6,NA())</f>
        <v>#N/A</v>
      </c>
      <c r="E59" s="9" t="e">
        <f>IF(Thurs!Q6&gt;0,Thurs!Q6,NA())</f>
        <v>#N/A</v>
      </c>
      <c r="F59" s="9" t="e">
        <f>IF(' Fri '!Q6&gt;0,' Fri '!Q6,NA())</f>
        <v>#N/A</v>
      </c>
      <c r="G59" s="9" t="e">
        <f>IF(Sat!Q6&gt;0,Sat!Q6,NA())</f>
        <v>#N/A</v>
      </c>
      <c r="H59" s="9" t="e">
        <f>IF(Sun!Q6&gt;0,Sun!Q6,NA())</f>
        <v>#N/A</v>
      </c>
      <c r="J59" s="9">
        <v>300</v>
      </c>
      <c r="K59" s="9">
        <v>140</v>
      </c>
      <c r="L59" s="9">
        <v>80</v>
      </c>
      <c r="M59" s="10">
        <v>0.84375000000001199</v>
      </c>
      <c r="N59" s="9" t="e">
        <f t="shared" si="0"/>
        <v>#N/A</v>
      </c>
      <c r="O59" s="9" t="e">
        <f t="shared" si="1"/>
        <v>#N/A</v>
      </c>
      <c r="P59" s="9" t="e">
        <f t="shared" si="2"/>
        <v>#N/A</v>
      </c>
      <c r="R59" s="10"/>
    </row>
    <row r="60" spans="1:18">
      <c r="A60" s="10">
        <v>0.85416666666667895</v>
      </c>
      <c r="B60" s="9" t="e">
        <f>IF(Mon!Q7&gt;0,Mon!Q7,NA())</f>
        <v>#N/A</v>
      </c>
      <c r="C60" s="9" t="e">
        <f>IF(Tues!Q7&gt;0,Tues!Q7,NA())</f>
        <v>#N/A</v>
      </c>
      <c r="D60" s="9" t="e">
        <f>IF(Wed!Q7&gt;0,Wed!Q7,NA())</f>
        <v>#N/A</v>
      </c>
      <c r="E60" s="9" t="e">
        <f>IF(Thurs!Q7&gt;0,Thurs!Q7,NA())</f>
        <v>#N/A</v>
      </c>
      <c r="F60" s="9" t="e">
        <f>IF(' Fri '!Q7&gt;0,' Fri '!Q7,NA())</f>
        <v>#N/A</v>
      </c>
      <c r="G60" s="9" t="e">
        <f>IF(Sat!Q7&gt;0,Sat!Q7,NA())</f>
        <v>#N/A</v>
      </c>
      <c r="H60" s="9" t="e">
        <f>IF(Sun!Q7&gt;0,Sun!Q7,NA())</f>
        <v>#N/A</v>
      </c>
      <c r="J60" s="9">
        <v>300</v>
      </c>
      <c r="K60" s="9">
        <v>140</v>
      </c>
      <c r="L60" s="9">
        <v>80</v>
      </c>
      <c r="M60" s="10">
        <v>0.85416666666667895</v>
      </c>
      <c r="N60" s="9" t="e">
        <f t="shared" si="0"/>
        <v>#N/A</v>
      </c>
      <c r="O60" s="9" t="e">
        <f t="shared" si="1"/>
        <v>#N/A</v>
      </c>
      <c r="P60" s="9" t="e">
        <f t="shared" si="2"/>
        <v>#N/A</v>
      </c>
      <c r="R60" s="10"/>
    </row>
    <row r="61" spans="1:18">
      <c r="A61" s="10">
        <v>0.86458333333334603</v>
      </c>
      <c r="B61" s="9" t="e">
        <f>IF(Mon!Q8&gt;0,Mon!Q8,NA())</f>
        <v>#N/A</v>
      </c>
      <c r="C61" s="9" t="e">
        <f>IF(Tues!Q8&gt;0,Tues!Q8,NA())</f>
        <v>#N/A</v>
      </c>
      <c r="D61" s="9" t="e">
        <f>IF(Wed!Q8&gt;0,Wed!Q8,NA())</f>
        <v>#N/A</v>
      </c>
      <c r="E61" s="9" t="e">
        <f>IF(Thurs!Q8&gt;0,Thurs!Q8,NA())</f>
        <v>#N/A</v>
      </c>
      <c r="F61" s="9" t="e">
        <f>IF(' Fri '!Q8&gt;0,' Fri '!Q8,NA())</f>
        <v>#N/A</v>
      </c>
      <c r="G61" s="9" t="e">
        <f>IF(Sat!Q8&gt;0,Sat!Q8,NA())</f>
        <v>#N/A</v>
      </c>
      <c r="H61" s="9" t="e">
        <f>IF(Sun!Q8&gt;0,Sun!Q8,NA())</f>
        <v>#N/A</v>
      </c>
      <c r="J61" s="9">
        <v>300</v>
      </c>
      <c r="K61" s="9">
        <v>140</v>
      </c>
      <c r="L61" s="9">
        <v>80</v>
      </c>
      <c r="M61" s="10">
        <v>0.86458333333334603</v>
      </c>
      <c r="N61" s="9" t="e">
        <f t="shared" si="0"/>
        <v>#N/A</v>
      </c>
      <c r="O61" s="9" t="e">
        <f t="shared" si="1"/>
        <v>#N/A</v>
      </c>
      <c r="P61" s="9" t="e">
        <f t="shared" si="2"/>
        <v>#N/A</v>
      </c>
      <c r="R61" s="10"/>
    </row>
    <row r="62" spans="1:18">
      <c r="A62" s="10">
        <v>0.87500000000001299</v>
      </c>
      <c r="B62" s="9" t="e">
        <f>IF(Mon!R5&gt;0,Mon!R5,NA())</f>
        <v>#N/A</v>
      </c>
      <c r="C62" s="9" t="e">
        <f>IF(Tues!R5&gt;0,Tues!R5,NA())</f>
        <v>#N/A</v>
      </c>
      <c r="D62" s="9" t="e">
        <f>IF(Wed!R5&gt;0,Wed!R5,NA())</f>
        <v>#N/A</v>
      </c>
      <c r="E62" s="9" t="e">
        <f>IF(Thurs!R5&gt;0,Thurs!R5,NA())</f>
        <v>#N/A</v>
      </c>
      <c r="F62" s="9" t="e">
        <f>IF(' Fri '!R5&gt;0,' Fri '!R5,NA())</f>
        <v>#N/A</v>
      </c>
      <c r="G62" s="9" t="e">
        <f>IF(Sat!R5&gt;0,Sat!R5,NA())</f>
        <v>#N/A</v>
      </c>
      <c r="H62" s="9" t="e">
        <f>IF(Sun!R5&gt;0,Sun!R5,NA())</f>
        <v>#N/A</v>
      </c>
      <c r="J62" s="9">
        <v>300</v>
      </c>
      <c r="K62" s="9">
        <v>140</v>
      </c>
      <c r="L62" s="9">
        <v>80</v>
      </c>
      <c r="M62" s="10">
        <v>0.87500000000001299</v>
      </c>
      <c r="N62" s="9" t="e">
        <f t="shared" si="0"/>
        <v>#N/A</v>
      </c>
      <c r="O62" s="9" t="e">
        <f t="shared" si="1"/>
        <v>#N/A</v>
      </c>
      <c r="P62" s="9" t="e">
        <f t="shared" si="2"/>
        <v>#N/A</v>
      </c>
      <c r="R62" s="10"/>
    </row>
    <row r="63" spans="1:18">
      <c r="A63" s="10">
        <v>0.88541666666667995</v>
      </c>
      <c r="B63" s="9" t="e">
        <f>IF(Mon!R6&gt;0,Mon!R6,NA())</f>
        <v>#N/A</v>
      </c>
      <c r="C63" s="9" t="e">
        <f>IF(Tues!R6&gt;0,Tues!R6,NA())</f>
        <v>#N/A</v>
      </c>
      <c r="D63" s="9" t="e">
        <f>IF(Wed!R6&gt;0,Wed!R6,NA())</f>
        <v>#N/A</v>
      </c>
      <c r="E63" s="9" t="e">
        <f>IF(Thurs!R6&gt;0,Thurs!R6,NA())</f>
        <v>#N/A</v>
      </c>
      <c r="F63" s="9" t="e">
        <f>IF(' Fri '!R6&gt;0,' Fri '!R6,NA())</f>
        <v>#N/A</v>
      </c>
      <c r="G63" s="9" t="e">
        <f>IF(Sat!R6&gt;0,Sat!R6,NA())</f>
        <v>#N/A</v>
      </c>
      <c r="H63" s="9" t="e">
        <f>IF(Sun!R6&gt;0,Sun!R6,NA())</f>
        <v>#N/A</v>
      </c>
      <c r="J63" s="9">
        <v>300</v>
      </c>
      <c r="K63" s="9">
        <v>140</v>
      </c>
      <c r="L63" s="9">
        <v>80</v>
      </c>
      <c r="M63" s="10">
        <v>0.88541666666667995</v>
      </c>
      <c r="N63" s="9" t="e">
        <f t="shared" si="0"/>
        <v>#N/A</v>
      </c>
      <c r="O63" s="9" t="e">
        <f t="shared" si="1"/>
        <v>#N/A</v>
      </c>
      <c r="P63" s="9" t="e">
        <f t="shared" si="2"/>
        <v>#N/A</v>
      </c>
      <c r="R63" s="10"/>
    </row>
    <row r="64" spans="1:18">
      <c r="A64" s="10">
        <v>0.89583333333334803</v>
      </c>
      <c r="B64" s="9" t="e">
        <f>IF(Mon!R7&gt;0,Mon!R7,NA())</f>
        <v>#N/A</v>
      </c>
      <c r="C64" s="9" t="e">
        <f>IF(Tues!R7&gt;0,Tues!R7,NA())</f>
        <v>#N/A</v>
      </c>
      <c r="D64" s="9" t="e">
        <f>IF(Wed!R7&gt;0,Wed!R7,NA())</f>
        <v>#N/A</v>
      </c>
      <c r="E64" s="9" t="e">
        <f>IF(Thurs!R7&gt;0,Thurs!R7,NA())</f>
        <v>#N/A</v>
      </c>
      <c r="F64" s="9" t="e">
        <f>IF(' Fri '!R7&gt;0,' Fri '!R7,NA())</f>
        <v>#N/A</v>
      </c>
      <c r="G64" s="9" t="e">
        <f>IF(Sat!R7&gt;0,Sat!R7,NA())</f>
        <v>#N/A</v>
      </c>
      <c r="H64" s="9" t="e">
        <f>IF(Sun!R7&gt;0,Sun!R7,NA())</f>
        <v>#N/A</v>
      </c>
      <c r="J64" s="9">
        <v>300</v>
      </c>
      <c r="K64" s="9">
        <v>140</v>
      </c>
      <c r="L64" s="9">
        <v>80</v>
      </c>
      <c r="M64" s="10">
        <v>0.89583333333334803</v>
      </c>
      <c r="N64" s="9" t="e">
        <f t="shared" si="0"/>
        <v>#N/A</v>
      </c>
      <c r="O64" s="9" t="e">
        <f t="shared" si="1"/>
        <v>#N/A</v>
      </c>
      <c r="P64" s="9" t="e">
        <f t="shared" si="2"/>
        <v>#N/A</v>
      </c>
      <c r="R64" s="10"/>
    </row>
    <row r="65" spans="1:18">
      <c r="A65" s="10">
        <v>0.90625000000001499</v>
      </c>
      <c r="B65" s="9" t="e">
        <f>IF(Mon!R8&gt;0,Mon!R8,NA())</f>
        <v>#N/A</v>
      </c>
      <c r="C65" s="9" t="e">
        <f>IF(Tues!R8&gt;0,Tues!R8,NA())</f>
        <v>#N/A</v>
      </c>
      <c r="D65" s="9" t="e">
        <f>IF(Wed!R8&gt;0,Wed!R8,NA())</f>
        <v>#N/A</v>
      </c>
      <c r="E65" s="9" t="e">
        <f>IF(Thurs!R8&gt;0,Thurs!R8,NA())</f>
        <v>#N/A</v>
      </c>
      <c r="F65" s="9" t="e">
        <f>IF(' Fri '!R8&gt;0,' Fri '!R8,NA())</f>
        <v>#N/A</v>
      </c>
      <c r="G65" s="9" t="e">
        <f>IF(Sat!R8&gt;0,Sat!R8,NA())</f>
        <v>#N/A</v>
      </c>
      <c r="H65" s="9" t="e">
        <f>IF(Sun!R8&gt;0,Sun!R8,NA())</f>
        <v>#N/A</v>
      </c>
      <c r="J65" s="9">
        <v>300</v>
      </c>
      <c r="K65" s="9">
        <v>140</v>
      </c>
      <c r="L65" s="9">
        <v>80</v>
      </c>
      <c r="M65" s="10">
        <v>0.90625000000001499</v>
      </c>
      <c r="N65" s="9" t="e">
        <f t="shared" si="0"/>
        <v>#N/A</v>
      </c>
      <c r="O65" s="9" t="e">
        <f t="shared" si="1"/>
        <v>#N/A</v>
      </c>
      <c r="P65" s="9" t="e">
        <f t="shared" si="2"/>
        <v>#N/A</v>
      </c>
      <c r="R65" s="10"/>
    </row>
    <row r="66" spans="1:18">
      <c r="A66" s="10">
        <v>0.91666666666668195</v>
      </c>
      <c r="B66" s="9" t="e">
        <f>IF(Mon!S5&gt;0,Mon!S5,NA())</f>
        <v>#N/A</v>
      </c>
      <c r="C66" s="9" t="e">
        <f>IF(Tues!S5&gt;0,Tues!S5,NA())</f>
        <v>#N/A</v>
      </c>
      <c r="D66" s="9" t="e">
        <f>IF(Wed!S5&gt;0,Wed!S5,NA())</f>
        <v>#N/A</v>
      </c>
      <c r="E66" s="9" t="e">
        <f>IF(Thurs!S5&gt;0,Thurs!S5,NA())</f>
        <v>#N/A</v>
      </c>
      <c r="F66" s="9" t="e">
        <f>IF(' Fri '!S5&gt;0,' Fri '!S5,NA())</f>
        <v>#N/A</v>
      </c>
      <c r="G66" s="9" t="e">
        <f>IF(Sat!S5&gt;0,Sat!S5,NA())</f>
        <v>#N/A</v>
      </c>
      <c r="H66" s="9" t="e">
        <f>IF(Sun!S5&gt;0,Sun!S5,NA())</f>
        <v>#N/A</v>
      </c>
      <c r="J66" s="9">
        <v>300</v>
      </c>
      <c r="K66" s="9">
        <v>140</v>
      </c>
      <c r="L66" s="9">
        <v>80</v>
      </c>
      <c r="M66" s="10">
        <v>0.91666666666668195</v>
      </c>
      <c r="N66" s="9" t="e">
        <f t="shared" si="0"/>
        <v>#N/A</v>
      </c>
      <c r="O66" s="9" t="e">
        <f t="shared" si="1"/>
        <v>#N/A</v>
      </c>
      <c r="P66" s="9" t="e">
        <f t="shared" si="2"/>
        <v>#N/A</v>
      </c>
      <c r="R66" s="10"/>
    </row>
    <row r="67" spans="1:18">
      <c r="A67" s="10">
        <v>0.92708333333334902</v>
      </c>
      <c r="B67" s="9" t="e">
        <f>IF(Mon!S6&gt;0,Mon!S6,NA())</f>
        <v>#N/A</v>
      </c>
      <c r="C67" s="9" t="e">
        <f>IF(Tues!S6&gt;0,Tues!S6,NA())</f>
        <v>#N/A</v>
      </c>
      <c r="D67" s="9" t="e">
        <f>IF(Wed!S6&gt;0,Wed!S6,NA())</f>
        <v>#N/A</v>
      </c>
      <c r="E67" s="9" t="e">
        <f>IF(Thurs!S6&gt;0,Thurs!S6,NA())</f>
        <v>#N/A</v>
      </c>
      <c r="F67" s="9" t="e">
        <f>IF(' Fri '!S6&gt;0,' Fri '!S6,NA())</f>
        <v>#N/A</v>
      </c>
      <c r="G67" s="9" t="e">
        <f>IF(Sat!S6&gt;0,Sat!S6,NA())</f>
        <v>#N/A</v>
      </c>
      <c r="H67" s="9" t="e">
        <f>IF(Sun!S6&gt;0,Sun!S6,NA())</f>
        <v>#N/A</v>
      </c>
      <c r="J67" s="9">
        <v>300</v>
      </c>
      <c r="K67" s="9">
        <v>140</v>
      </c>
      <c r="L67" s="9">
        <v>80</v>
      </c>
      <c r="M67" s="10">
        <v>0.92708333333334902</v>
      </c>
      <c r="N67" s="9" t="e">
        <f t="shared" ref="N67:N97" si="3">IF(COUNTIF(B67:F67,"&gt;0")=0,#N/A, SUMIF(B67:F67,"&gt;0")/COUNTIF(B67:F67,"&gt;0"))</f>
        <v>#N/A</v>
      </c>
      <c r="O67" s="9" t="e">
        <f t="shared" ref="O67:O97" si="4">IF(COUNTIF(G67:H67,"&gt;0")=0,#N/A, SUMIF(G67:H67,"&gt;0")/COUNTIF(G67:H67,"&gt;0"))</f>
        <v>#N/A</v>
      </c>
      <c r="P67" s="9" t="e">
        <f t="shared" ref="P67:P97" si="5">IF(COUNTIF(B67:H67,"&gt;0")=0,#N/A, SUMIF(B67:H67,"&gt;0")/COUNTIF(B67:H67,"&gt;0"))</f>
        <v>#N/A</v>
      </c>
      <c r="R67" s="10"/>
    </row>
    <row r="68" spans="1:18">
      <c r="A68" s="10">
        <v>0.93750000000001599</v>
      </c>
      <c r="B68" s="9" t="e">
        <f>IF(Mon!S7&gt;0,Mon!S7,NA())</f>
        <v>#N/A</v>
      </c>
      <c r="C68" s="9" t="e">
        <f>IF(Tues!S7&gt;0,Tues!S7,NA())</f>
        <v>#N/A</v>
      </c>
      <c r="D68" s="9" t="e">
        <f>IF(Wed!S7&gt;0,Wed!S7,NA())</f>
        <v>#N/A</v>
      </c>
      <c r="E68" s="9" t="e">
        <f>IF(Thurs!S7&gt;0,Thurs!S7,NA())</f>
        <v>#N/A</v>
      </c>
      <c r="F68" s="9" t="e">
        <f>IF(' Fri '!S7&gt;0,' Fri '!S7,NA())</f>
        <v>#N/A</v>
      </c>
      <c r="G68" s="9" t="e">
        <f>IF(Sat!S7&gt;0,Sat!S7,NA())</f>
        <v>#N/A</v>
      </c>
      <c r="H68" s="9" t="e">
        <f>IF(Sun!S7&gt;0,Sun!S7,NA())</f>
        <v>#N/A</v>
      </c>
      <c r="J68" s="9">
        <v>300</v>
      </c>
      <c r="K68" s="9">
        <v>140</v>
      </c>
      <c r="L68" s="9">
        <v>80</v>
      </c>
      <c r="M68" s="10">
        <v>0.93750000000001599</v>
      </c>
      <c r="N68" s="9" t="e">
        <f t="shared" si="3"/>
        <v>#N/A</v>
      </c>
      <c r="O68" s="9" t="e">
        <f t="shared" si="4"/>
        <v>#N/A</v>
      </c>
      <c r="P68" s="9" t="e">
        <f t="shared" si="5"/>
        <v>#N/A</v>
      </c>
      <c r="R68" s="10"/>
    </row>
    <row r="69" spans="1:18">
      <c r="A69" s="10">
        <v>0.94791666666668295</v>
      </c>
      <c r="B69" s="9" t="e">
        <f>IF(Mon!S8&gt;0,Mon!S8,NA())</f>
        <v>#N/A</v>
      </c>
      <c r="C69" s="9" t="e">
        <f>IF(Tues!S8&gt;0,Tues!S8,NA())</f>
        <v>#N/A</v>
      </c>
      <c r="D69" s="9" t="e">
        <f>IF(Wed!S8&gt;0,Wed!S8,NA())</f>
        <v>#N/A</v>
      </c>
      <c r="E69" s="9" t="e">
        <f>IF(Thurs!S8&gt;0,Thurs!S8,NA())</f>
        <v>#N/A</v>
      </c>
      <c r="F69" s="9" t="e">
        <f>IF(' Fri '!S8&gt;0,' Fri '!S8,NA())</f>
        <v>#N/A</v>
      </c>
      <c r="G69" s="9" t="e">
        <f>IF(Sat!S8&gt;0,Sat!S8,NA())</f>
        <v>#N/A</v>
      </c>
      <c r="H69" s="9" t="e">
        <f>IF(Sun!S8&gt;0,Sun!S8,NA())</f>
        <v>#N/A</v>
      </c>
      <c r="J69" s="9">
        <v>300</v>
      </c>
      <c r="K69" s="9">
        <v>140</v>
      </c>
      <c r="L69" s="9">
        <v>80</v>
      </c>
      <c r="M69" s="10">
        <v>0.94791666666668295</v>
      </c>
      <c r="N69" s="9" t="e">
        <f t="shared" si="3"/>
        <v>#N/A</v>
      </c>
      <c r="O69" s="9" t="e">
        <f t="shared" si="4"/>
        <v>#N/A</v>
      </c>
      <c r="P69" s="9" t="e">
        <f t="shared" si="5"/>
        <v>#N/A</v>
      </c>
      <c r="R69" s="10"/>
    </row>
    <row r="70" spans="1:18">
      <c r="A70" s="10">
        <v>0.95833333333335002</v>
      </c>
      <c r="B70" s="9" t="e">
        <f>IF(Mon!T5&gt;0,Mon!T5,NA())</f>
        <v>#N/A</v>
      </c>
      <c r="C70" s="9" t="e">
        <f>IF(Tues!T5&gt;0,Tues!T5,NA())</f>
        <v>#N/A</v>
      </c>
      <c r="D70" s="9" t="e">
        <f>IF(Wed!T5&gt;0,Wed!T5,NA())</f>
        <v>#N/A</v>
      </c>
      <c r="E70" s="9" t="e">
        <f>IF(Thurs!T5&gt;0,Thurs!T5,NA())</f>
        <v>#N/A</v>
      </c>
      <c r="F70" s="9" t="e">
        <f>IF(' Fri '!T5&gt;0,' Fri '!T5,NA())</f>
        <v>#N/A</v>
      </c>
      <c r="G70" s="9" t="e">
        <f>IF(Sat!T5&gt;0,Sat!T5,NA())</f>
        <v>#N/A</v>
      </c>
      <c r="H70" s="9" t="e">
        <f>IF(Sun!T5&gt;0,Sun!T5,NA())</f>
        <v>#N/A</v>
      </c>
      <c r="J70" s="9">
        <v>300</v>
      </c>
      <c r="K70" s="9">
        <v>140</v>
      </c>
      <c r="L70" s="9">
        <v>80</v>
      </c>
      <c r="M70" s="10">
        <v>0.95833333333335002</v>
      </c>
      <c r="N70" s="9" t="e">
        <f t="shared" si="3"/>
        <v>#N/A</v>
      </c>
      <c r="O70" s="9" t="e">
        <f t="shared" si="4"/>
        <v>#N/A</v>
      </c>
      <c r="P70" s="9" t="e">
        <f t="shared" si="5"/>
        <v>#N/A</v>
      </c>
      <c r="R70" s="10"/>
    </row>
    <row r="71" spans="1:18">
      <c r="A71" s="10">
        <v>0.96875000000001699</v>
      </c>
      <c r="B71" s="9" t="e">
        <f>IF(Mon!T6&gt;0,Mon!T6,NA())</f>
        <v>#N/A</v>
      </c>
      <c r="C71" s="9" t="e">
        <f>IF(Tues!T6&gt;0,Tues!T6,NA())</f>
        <v>#N/A</v>
      </c>
      <c r="D71" s="9" t="e">
        <f>IF(Wed!T6&gt;0,Wed!T6,NA())</f>
        <v>#N/A</v>
      </c>
      <c r="E71" s="9" t="e">
        <f>IF(Thurs!T6&gt;0,Thurs!T6,NA())</f>
        <v>#N/A</v>
      </c>
      <c r="F71" s="9" t="e">
        <f>IF(' Fri '!T6&gt;0,' Fri '!T6,NA())</f>
        <v>#N/A</v>
      </c>
      <c r="G71" s="9" t="e">
        <f>IF(Sat!T6&gt;0,Sat!T6,NA())</f>
        <v>#N/A</v>
      </c>
      <c r="H71" s="9" t="e">
        <f>IF(Sun!T6&gt;0,Sun!T6,NA())</f>
        <v>#N/A</v>
      </c>
      <c r="J71" s="9">
        <v>300</v>
      </c>
      <c r="K71" s="9">
        <v>140</v>
      </c>
      <c r="L71" s="9">
        <v>80</v>
      </c>
      <c r="M71" s="10">
        <v>0.96875000000001699</v>
      </c>
      <c r="N71" s="9" t="e">
        <f t="shared" si="3"/>
        <v>#N/A</v>
      </c>
      <c r="O71" s="9" t="e">
        <f t="shared" si="4"/>
        <v>#N/A</v>
      </c>
      <c r="P71" s="9" t="e">
        <f t="shared" si="5"/>
        <v>#N/A</v>
      </c>
      <c r="R71" s="10"/>
    </row>
    <row r="72" spans="1:18">
      <c r="A72" s="10">
        <v>0.97916666666668395</v>
      </c>
      <c r="B72" s="9" t="e">
        <f>IF(Mon!T7&gt;0,Mon!T7,NA())</f>
        <v>#N/A</v>
      </c>
      <c r="C72" s="9" t="e">
        <f>IF(Tues!T7&gt;0,Tues!T7,NA())</f>
        <v>#N/A</v>
      </c>
      <c r="D72" s="9" t="e">
        <f>IF(Wed!T7&gt;0,Wed!T7,NA())</f>
        <v>#N/A</v>
      </c>
      <c r="E72" s="9" t="e">
        <f>IF(Thurs!T7&gt;0,Thurs!T7,NA())</f>
        <v>#N/A</v>
      </c>
      <c r="F72" s="9" t="e">
        <f>IF(' Fri '!T7&gt;0,' Fri '!T7,NA())</f>
        <v>#N/A</v>
      </c>
      <c r="G72" s="9" t="e">
        <f>IF(Sat!T7&gt;0,Sat!T7,NA())</f>
        <v>#N/A</v>
      </c>
      <c r="H72" s="9" t="e">
        <f>IF(Sun!T7&gt;0,Sun!T7,NA())</f>
        <v>#N/A</v>
      </c>
      <c r="J72" s="9">
        <v>300</v>
      </c>
      <c r="K72" s="9">
        <v>140</v>
      </c>
      <c r="L72" s="9">
        <v>80</v>
      </c>
      <c r="M72" s="10">
        <v>0.97916666666668395</v>
      </c>
      <c r="N72" s="9" t="e">
        <f t="shared" si="3"/>
        <v>#N/A</v>
      </c>
      <c r="O72" s="9" t="e">
        <f t="shared" si="4"/>
        <v>#N/A</v>
      </c>
      <c r="P72" s="9" t="e">
        <f t="shared" si="5"/>
        <v>#N/A</v>
      </c>
      <c r="R72" s="10"/>
    </row>
    <row r="73" spans="1:18">
      <c r="A73" s="10">
        <v>0.98958333333335102</v>
      </c>
      <c r="B73" s="9" t="e">
        <f>IF(Mon!T8&gt;0,Mon!T8,NA())</f>
        <v>#N/A</v>
      </c>
      <c r="C73" s="9" t="e">
        <f>IF(Tues!T8&gt;0,Tues!T8,NA())</f>
        <v>#N/A</v>
      </c>
      <c r="D73" s="9" t="e">
        <f>IF(Wed!T8&gt;0,Wed!T8,NA())</f>
        <v>#N/A</v>
      </c>
      <c r="E73" s="9" t="e">
        <f>IF(Thurs!T8&gt;0,Thurs!T8,NA())</f>
        <v>#N/A</v>
      </c>
      <c r="F73" s="9" t="e">
        <f>IF(' Fri '!T8&gt;0,' Fri '!T8,NA())</f>
        <v>#N/A</v>
      </c>
      <c r="G73" s="9" t="e">
        <f>IF(Sat!T8&gt;0,Sat!T8,NA())</f>
        <v>#N/A</v>
      </c>
      <c r="H73" s="9" t="e">
        <f>IF(Sun!T8&gt;0,Sun!T8,NA())</f>
        <v>#N/A</v>
      </c>
      <c r="J73" s="9">
        <v>300</v>
      </c>
      <c r="K73" s="9">
        <v>140</v>
      </c>
      <c r="L73" s="9">
        <v>80</v>
      </c>
      <c r="M73" s="10">
        <v>0.98958333333335102</v>
      </c>
      <c r="N73" s="9" t="e">
        <f t="shared" si="3"/>
        <v>#N/A</v>
      </c>
      <c r="O73" s="9" t="e">
        <f t="shared" si="4"/>
        <v>#N/A</v>
      </c>
      <c r="P73" s="9" t="e">
        <f t="shared" si="5"/>
        <v>#N/A</v>
      </c>
      <c r="R73" s="10"/>
    </row>
    <row r="74" spans="1:18">
      <c r="A74" s="10">
        <v>1.00000000000002</v>
      </c>
      <c r="B74" s="9" t="e">
        <f>IF(Mon!U5&gt;0, Mon!U5, NA())</f>
        <v>#N/A</v>
      </c>
      <c r="C74" s="9" t="e">
        <f>IF(Tues!U5&gt;0, Tues!U5, NA())</f>
        <v>#N/A</v>
      </c>
      <c r="D74" s="9" t="e">
        <f>IF(Wed!U5&gt;0, Wed!U5, NA())</f>
        <v>#N/A</v>
      </c>
      <c r="E74" s="9" t="e">
        <f>IF(Thurs!U5&gt;0, Thurs!U5, NA())</f>
        <v>#N/A</v>
      </c>
      <c r="F74" s="9" t="e">
        <f>IF(' Fri '!U5&gt;0, ' Fri '!U5, NA())</f>
        <v>#N/A</v>
      </c>
      <c r="G74" s="9" t="e">
        <f>IF(Sat!U5&gt;0, Sat!U5, NA())</f>
        <v>#N/A</v>
      </c>
      <c r="H74" s="9" t="e">
        <f>IF(Sun!U5&gt;0, Sun!U5, NA())</f>
        <v>#N/A</v>
      </c>
      <c r="J74" s="9">
        <v>300</v>
      </c>
      <c r="K74" s="9">
        <v>140</v>
      </c>
      <c r="L74" s="9">
        <v>80</v>
      </c>
      <c r="M74" s="10">
        <v>1.00000000000002</v>
      </c>
      <c r="N74" s="9" t="e">
        <f t="shared" si="3"/>
        <v>#N/A</v>
      </c>
      <c r="O74" s="9" t="e">
        <f t="shared" si="4"/>
        <v>#N/A</v>
      </c>
      <c r="P74" s="9" t="e">
        <f t="shared" si="5"/>
        <v>#N/A</v>
      </c>
      <c r="R74" s="10"/>
    </row>
    <row r="75" spans="1:18">
      <c r="A75" s="10">
        <v>1.0104166666666801</v>
      </c>
      <c r="B75" s="9" t="e">
        <f>IF(Mon!U6&gt;0, Mon!U6, NA())</f>
        <v>#N/A</v>
      </c>
      <c r="C75" s="9" t="e">
        <f>IF(Tues!U6&gt;0, Tues!U6, NA())</f>
        <v>#N/A</v>
      </c>
      <c r="D75" s="9" t="e">
        <f>IF(Wed!U6&gt;0, Wed!U6, NA())</f>
        <v>#N/A</v>
      </c>
      <c r="E75" s="9" t="e">
        <f>IF(Thurs!U6&gt;0, Thurs!U6, NA())</f>
        <v>#N/A</v>
      </c>
      <c r="F75" s="9" t="e">
        <f>IF(' Fri '!U6&gt;0, ' Fri '!U6, NA())</f>
        <v>#N/A</v>
      </c>
      <c r="G75" s="9" t="e">
        <f>IF(Sat!U6&gt;0, Sat!U6, NA())</f>
        <v>#N/A</v>
      </c>
      <c r="H75" s="9" t="e">
        <f>IF(Sun!U6&gt;0, Sun!U6, NA())</f>
        <v>#N/A</v>
      </c>
      <c r="J75" s="9">
        <v>300</v>
      </c>
      <c r="K75" s="9">
        <v>140</v>
      </c>
      <c r="L75" s="9">
        <v>80</v>
      </c>
      <c r="M75" s="10">
        <v>1.0104166666666801</v>
      </c>
      <c r="N75" s="9" t="e">
        <f t="shared" si="3"/>
        <v>#N/A</v>
      </c>
      <c r="O75" s="9" t="e">
        <f t="shared" si="4"/>
        <v>#N/A</v>
      </c>
      <c r="P75" s="9" t="e">
        <f t="shared" si="5"/>
        <v>#N/A</v>
      </c>
      <c r="R75" s="10"/>
    </row>
    <row r="76" spans="1:18">
      <c r="A76" s="10">
        <v>1.0208333333333499</v>
      </c>
      <c r="B76" s="9" t="e">
        <f>IF(Mon!U7&gt;0, Mon!U7, NA())</f>
        <v>#N/A</v>
      </c>
      <c r="C76" s="9" t="e">
        <f>IF(Tues!U7&gt;0, Tues!U7, NA())</f>
        <v>#N/A</v>
      </c>
      <c r="D76" s="9" t="e">
        <f>IF(Wed!U7&gt;0, Wed!U7, NA())</f>
        <v>#N/A</v>
      </c>
      <c r="E76" s="9" t="e">
        <f>IF(Thurs!U7&gt;0, Thurs!U7, NA())</f>
        <v>#N/A</v>
      </c>
      <c r="F76" s="9" t="e">
        <f>IF(' Fri '!U7&gt;0, ' Fri '!U7, NA())</f>
        <v>#N/A</v>
      </c>
      <c r="G76" s="9" t="e">
        <f>IF(Sat!U7&gt;0, Sat!U7, NA())</f>
        <v>#N/A</v>
      </c>
      <c r="H76" s="9" t="e">
        <f>IF(Sun!U7&gt;0, Sun!U7, NA())</f>
        <v>#N/A</v>
      </c>
      <c r="J76" s="9">
        <v>300</v>
      </c>
      <c r="K76" s="9">
        <v>140</v>
      </c>
      <c r="L76" s="9">
        <v>80</v>
      </c>
      <c r="M76" s="10">
        <v>1.0208333333333499</v>
      </c>
      <c r="N76" s="9" t="e">
        <f t="shared" si="3"/>
        <v>#N/A</v>
      </c>
      <c r="O76" s="9" t="e">
        <f t="shared" si="4"/>
        <v>#N/A</v>
      </c>
      <c r="P76" s="9" t="e">
        <f t="shared" si="5"/>
        <v>#N/A</v>
      </c>
      <c r="R76" s="10"/>
    </row>
    <row r="77" spans="1:18">
      <c r="A77" s="10">
        <v>1.03125000000002</v>
      </c>
      <c r="B77" s="9" t="e">
        <f>IF(Mon!U8&gt;0, Mon!U8, NA())</f>
        <v>#N/A</v>
      </c>
      <c r="C77" s="9" t="e">
        <f>IF(Tues!U8&gt;0, Tues!U8, NA())</f>
        <v>#N/A</v>
      </c>
      <c r="D77" s="9" t="e">
        <f>IF(Wed!U8&gt;0, Wed!U8, NA())</f>
        <v>#N/A</v>
      </c>
      <c r="E77" s="9" t="e">
        <f>IF(Thurs!U8&gt;0, Thurs!U8, NA())</f>
        <v>#N/A</v>
      </c>
      <c r="F77" s="9" t="e">
        <f>IF(' Fri '!U8&gt;0, ' Fri '!U8, NA())</f>
        <v>#N/A</v>
      </c>
      <c r="G77" s="9" t="e">
        <f>IF(Sat!U8&gt;0, Sat!U8, NA())</f>
        <v>#N/A</v>
      </c>
      <c r="H77" s="9" t="e">
        <f>IF(Sun!U8&gt;0, Sun!U8, NA())</f>
        <v>#N/A</v>
      </c>
      <c r="J77" s="9">
        <v>300</v>
      </c>
      <c r="K77" s="9">
        <v>140</v>
      </c>
      <c r="L77" s="9">
        <v>80</v>
      </c>
      <c r="M77" s="10">
        <v>1.03125000000002</v>
      </c>
      <c r="N77" s="9" t="e">
        <f t="shared" si="3"/>
        <v>#N/A</v>
      </c>
      <c r="O77" s="9" t="e">
        <f t="shared" si="4"/>
        <v>#N/A</v>
      </c>
      <c r="P77" s="9" t="e">
        <f t="shared" si="5"/>
        <v>#N/A</v>
      </c>
      <c r="R77" s="10"/>
    </row>
    <row r="78" spans="1:18">
      <c r="A78" s="10">
        <v>1.0416666666666901</v>
      </c>
      <c r="B78" s="9" t="e">
        <f>IF(Mon!V5&gt;0,Mon!V5,NA())</f>
        <v>#N/A</v>
      </c>
      <c r="C78" s="9" t="e">
        <f>IF(Tues!V5&gt;0,Tues!V5,NA())</f>
        <v>#N/A</v>
      </c>
      <c r="D78" s="9" t="e">
        <f>IF(Wed!V5&gt;0,Wed!V5,NA())</f>
        <v>#N/A</v>
      </c>
      <c r="E78" s="9" t="e">
        <f>IF(Thurs!V5&gt;0,Thurs!V5,NA())</f>
        <v>#N/A</v>
      </c>
      <c r="F78" s="9" t="e">
        <f>IF(' Fri '!V5&gt;0,' Fri '!V5,NA())</f>
        <v>#N/A</v>
      </c>
      <c r="G78" s="9" t="e">
        <f>IF(Sat!V5&gt;0,Sat!V5,NA())</f>
        <v>#N/A</v>
      </c>
      <c r="H78" s="9" t="e">
        <f>IF(Sun!V5&gt;0,Sun!V5,NA())</f>
        <v>#N/A</v>
      </c>
      <c r="J78" s="9">
        <v>300</v>
      </c>
      <c r="K78" s="9">
        <v>140</v>
      </c>
      <c r="L78" s="9">
        <v>80</v>
      </c>
      <c r="M78" s="10">
        <v>1.0416666666666901</v>
      </c>
      <c r="N78" s="9" t="e">
        <f t="shared" si="3"/>
        <v>#N/A</v>
      </c>
      <c r="O78" s="9" t="e">
        <f t="shared" si="4"/>
        <v>#N/A</v>
      </c>
      <c r="P78" s="9" t="e">
        <f t="shared" si="5"/>
        <v>#N/A</v>
      </c>
      <c r="R78" s="10"/>
    </row>
    <row r="79" spans="1:18">
      <c r="A79" s="10">
        <v>1.0520833333333499</v>
      </c>
      <c r="B79" s="9" t="e">
        <f>IF(Mon!V6&gt;0,Mon!V6,NA())</f>
        <v>#N/A</v>
      </c>
      <c r="C79" s="9" t="e">
        <f>IF(Tues!V6&gt;0,Tues!V6,NA())</f>
        <v>#N/A</v>
      </c>
      <c r="D79" s="9" t="e">
        <f>IF(Wed!V6&gt;0,Wed!V6,NA())</f>
        <v>#N/A</v>
      </c>
      <c r="E79" s="9" t="e">
        <f>IF(Thurs!V6&gt;0,Thurs!V6,NA())</f>
        <v>#N/A</v>
      </c>
      <c r="F79" s="9" t="e">
        <f>IF(' Fri '!V6&gt;0,' Fri '!V6,NA())</f>
        <v>#N/A</v>
      </c>
      <c r="G79" s="9" t="e">
        <f>IF(Sat!V6&gt;0,Sat!V6,NA())</f>
        <v>#N/A</v>
      </c>
      <c r="H79" s="9" t="e">
        <f>IF(Sun!V6&gt;0,Sun!V6,NA())</f>
        <v>#N/A</v>
      </c>
      <c r="J79" s="9">
        <v>300</v>
      </c>
      <c r="K79" s="9">
        <v>140</v>
      </c>
      <c r="L79" s="9">
        <v>80</v>
      </c>
      <c r="M79" s="10">
        <v>1.0520833333333499</v>
      </c>
      <c r="N79" s="9" t="e">
        <f t="shared" si="3"/>
        <v>#N/A</v>
      </c>
      <c r="O79" s="9" t="e">
        <f t="shared" si="4"/>
        <v>#N/A</v>
      </c>
      <c r="P79" s="9" t="e">
        <f t="shared" si="5"/>
        <v>#N/A</v>
      </c>
      <c r="R79" s="10"/>
    </row>
    <row r="80" spans="1:18">
      <c r="A80" s="10">
        <v>1.06250000000002</v>
      </c>
      <c r="B80" s="9" t="e">
        <f>IF(Mon!V7&gt;0,Mon!V7,NA())</f>
        <v>#N/A</v>
      </c>
      <c r="C80" s="9" t="e">
        <f>IF(Tues!V7&gt;0,Tues!V7,NA())</f>
        <v>#N/A</v>
      </c>
      <c r="D80" s="9" t="e">
        <f>IF(Wed!V7&gt;0,Wed!V7,NA())</f>
        <v>#N/A</v>
      </c>
      <c r="E80" s="9" t="e">
        <f>IF(Thurs!V7&gt;0,Thurs!V7,NA())</f>
        <v>#N/A</v>
      </c>
      <c r="F80" s="9" t="e">
        <f>IF(' Fri '!V7&gt;0,' Fri '!V7,NA())</f>
        <v>#N/A</v>
      </c>
      <c r="G80" s="9" t="e">
        <f>IF(Sat!V7&gt;0,Sat!V7,NA())</f>
        <v>#N/A</v>
      </c>
      <c r="H80" s="9" t="e">
        <f>IF(Sun!V7&gt;0,Sun!V7,NA())</f>
        <v>#N/A</v>
      </c>
      <c r="J80" s="9">
        <v>300</v>
      </c>
      <c r="K80" s="9">
        <v>140</v>
      </c>
      <c r="L80" s="9">
        <v>80</v>
      </c>
      <c r="M80" s="10">
        <v>1.06250000000002</v>
      </c>
      <c r="N80" s="9" t="e">
        <f t="shared" si="3"/>
        <v>#N/A</v>
      </c>
      <c r="O80" s="9" t="e">
        <f t="shared" si="4"/>
        <v>#N/A</v>
      </c>
      <c r="P80" s="9" t="e">
        <f t="shared" si="5"/>
        <v>#N/A</v>
      </c>
      <c r="R80" s="10"/>
    </row>
    <row r="81" spans="1:18">
      <c r="A81" s="10">
        <v>1.0729166666666901</v>
      </c>
      <c r="B81" s="9" t="e">
        <f>IF(Mon!V8&gt;0,Mon!V8,NA())</f>
        <v>#N/A</v>
      </c>
      <c r="C81" s="9" t="e">
        <f>IF(Tues!V8&gt;0,Tues!V8,NA())</f>
        <v>#N/A</v>
      </c>
      <c r="D81" s="9" t="e">
        <f>IF(Wed!V8&gt;0,Wed!V8,NA())</f>
        <v>#N/A</v>
      </c>
      <c r="E81" s="9" t="e">
        <f>IF(Thurs!V8&gt;0,Thurs!V8,NA())</f>
        <v>#N/A</v>
      </c>
      <c r="F81" s="9" t="e">
        <f>IF(' Fri '!V8&gt;0,' Fri '!V8,NA())</f>
        <v>#N/A</v>
      </c>
      <c r="G81" s="9" t="e">
        <f>IF(Sat!V8&gt;0,Sat!V8,NA())</f>
        <v>#N/A</v>
      </c>
      <c r="H81" s="9" t="e">
        <f>IF(Sun!V8&gt;0,Sun!V8,NA())</f>
        <v>#N/A</v>
      </c>
      <c r="J81" s="9">
        <v>300</v>
      </c>
      <c r="K81" s="9">
        <v>140</v>
      </c>
      <c r="L81" s="9">
        <v>80</v>
      </c>
      <c r="M81" s="10">
        <v>1.0729166666666901</v>
      </c>
      <c r="N81" s="9" t="e">
        <f t="shared" si="3"/>
        <v>#N/A</v>
      </c>
      <c r="O81" s="9" t="e">
        <f t="shared" si="4"/>
        <v>#N/A</v>
      </c>
      <c r="P81" s="9" t="e">
        <f t="shared" si="5"/>
        <v>#N/A</v>
      </c>
      <c r="R81" s="10"/>
    </row>
    <row r="82" spans="1:18">
      <c r="A82" s="10">
        <v>1.0833333333333499</v>
      </c>
      <c r="B82" s="9" t="e">
        <f>IF(Mon!W5&gt;0,Mon!W5,NA())</f>
        <v>#N/A</v>
      </c>
      <c r="C82" s="9" t="e">
        <f>IF(Tues!W5&gt;0,Tues!W5,NA())</f>
        <v>#N/A</v>
      </c>
      <c r="D82" s="9" t="e">
        <f>IF(Wed!W5&gt;0,Wed!W5,NA())</f>
        <v>#N/A</v>
      </c>
      <c r="E82" s="9" t="e">
        <f>IF(Thurs!W5&gt;0,Thurs!W5,NA())</f>
        <v>#N/A</v>
      </c>
      <c r="F82" s="9" t="e">
        <f>IF(' Fri '!W5&gt;0,' Fri '!W5,NA())</f>
        <v>#N/A</v>
      </c>
      <c r="G82" s="9" t="e">
        <f>IF(Sat!W5&gt;0,Sat!W5,NA())</f>
        <v>#N/A</v>
      </c>
      <c r="H82" s="9" t="e">
        <f>IF(Sun!W5&gt;0,Sun!W5,NA())</f>
        <v>#N/A</v>
      </c>
      <c r="J82" s="9">
        <v>300</v>
      </c>
      <c r="K82" s="9">
        <v>140</v>
      </c>
      <c r="L82" s="9">
        <v>80</v>
      </c>
      <c r="M82" s="10">
        <v>1.0833333333333499</v>
      </c>
      <c r="N82" s="9" t="e">
        <f t="shared" si="3"/>
        <v>#N/A</v>
      </c>
      <c r="O82" s="9" t="e">
        <f t="shared" si="4"/>
        <v>#N/A</v>
      </c>
      <c r="P82" s="9" t="e">
        <f t="shared" si="5"/>
        <v>#N/A</v>
      </c>
      <c r="R82" s="10"/>
    </row>
    <row r="83" spans="1:18">
      <c r="A83" s="10">
        <v>1.09375000000002</v>
      </c>
      <c r="B83" s="9" t="e">
        <f>IF(Mon!W6&gt;0,Mon!W6,NA())</f>
        <v>#N/A</v>
      </c>
      <c r="C83" s="9" t="e">
        <f>IF(Tues!W6&gt;0,Tues!W6,NA())</f>
        <v>#N/A</v>
      </c>
      <c r="D83" s="9" t="e">
        <f>IF(Wed!W6&gt;0,Wed!W6,NA())</f>
        <v>#N/A</v>
      </c>
      <c r="E83" s="9" t="e">
        <f>IF(Thurs!W6&gt;0,Thurs!W6,NA())</f>
        <v>#N/A</v>
      </c>
      <c r="F83" s="9" t="e">
        <f>IF(' Fri '!W6&gt;0,' Fri '!W6,NA())</f>
        <v>#N/A</v>
      </c>
      <c r="G83" s="9" t="e">
        <f>IF(Sat!W6&gt;0,Sat!W6,NA())</f>
        <v>#N/A</v>
      </c>
      <c r="H83" s="9" t="e">
        <f>IF(Sun!W6&gt;0,Sun!W6,NA())</f>
        <v>#N/A</v>
      </c>
      <c r="J83" s="9">
        <v>300</v>
      </c>
      <c r="K83" s="9">
        <v>140</v>
      </c>
      <c r="L83" s="9">
        <v>80</v>
      </c>
      <c r="M83" s="10">
        <v>1.09375000000002</v>
      </c>
      <c r="N83" s="9" t="e">
        <f t="shared" si="3"/>
        <v>#N/A</v>
      </c>
      <c r="O83" s="9" t="e">
        <f t="shared" si="4"/>
        <v>#N/A</v>
      </c>
      <c r="P83" s="9" t="e">
        <f t="shared" si="5"/>
        <v>#N/A</v>
      </c>
      <c r="R83" s="10"/>
    </row>
    <row r="84" spans="1:18">
      <c r="A84" s="10">
        <v>1.1041666666666901</v>
      </c>
      <c r="B84" s="9" t="e">
        <f>IF(Mon!W7&gt;0,Mon!W7,NA())</f>
        <v>#N/A</v>
      </c>
      <c r="C84" s="9" t="e">
        <f>IF(Tues!W7&gt;0,Tues!W7,NA())</f>
        <v>#N/A</v>
      </c>
      <c r="D84" s="9" t="e">
        <f>IF(Wed!W7&gt;0,Wed!W7,NA())</f>
        <v>#N/A</v>
      </c>
      <c r="E84" s="9" t="e">
        <f>IF(Thurs!W7&gt;0,Thurs!W7,NA())</f>
        <v>#N/A</v>
      </c>
      <c r="F84" s="9" t="e">
        <f>IF(' Fri '!W7&gt;0,' Fri '!W7,NA())</f>
        <v>#N/A</v>
      </c>
      <c r="G84" s="9" t="e">
        <f>IF(Sat!W7&gt;0,Sat!W7,NA())</f>
        <v>#N/A</v>
      </c>
      <c r="H84" s="9" t="e">
        <f>IF(Sun!W7&gt;0,Sun!W7,NA())</f>
        <v>#N/A</v>
      </c>
      <c r="J84" s="9">
        <v>300</v>
      </c>
      <c r="K84" s="9">
        <v>140</v>
      </c>
      <c r="L84" s="9">
        <v>80</v>
      </c>
      <c r="M84" s="10">
        <v>1.1041666666666901</v>
      </c>
      <c r="N84" s="9" t="e">
        <f t="shared" si="3"/>
        <v>#N/A</v>
      </c>
      <c r="O84" s="9" t="e">
        <f t="shared" si="4"/>
        <v>#N/A</v>
      </c>
      <c r="P84" s="9" t="e">
        <f t="shared" si="5"/>
        <v>#N/A</v>
      </c>
      <c r="R84" s="10"/>
    </row>
    <row r="85" spans="1:18">
      <c r="A85" s="10">
        <v>1.1145833333333599</v>
      </c>
      <c r="B85" s="9" t="e">
        <f>IF(Mon!W8&gt;0,Mon!W8,NA())</f>
        <v>#N/A</v>
      </c>
      <c r="C85" s="9" t="e">
        <f>IF(Tues!W8&gt;0,Tues!W8,NA())</f>
        <v>#N/A</v>
      </c>
      <c r="D85" s="9" t="e">
        <f>IF(Wed!W8&gt;0,Wed!W8,NA())</f>
        <v>#N/A</v>
      </c>
      <c r="E85" s="9" t="e">
        <f>IF(Thurs!W8&gt;0,Thurs!W8,NA())</f>
        <v>#N/A</v>
      </c>
      <c r="F85" s="9" t="e">
        <f>IF(' Fri '!W8&gt;0,' Fri '!W8,NA())</f>
        <v>#N/A</v>
      </c>
      <c r="G85" s="9" t="e">
        <f>IF(Sat!W8&gt;0,Sat!W8,NA())</f>
        <v>#N/A</v>
      </c>
      <c r="H85" s="9" t="e">
        <f>IF(Sun!W8&gt;0,Sun!W8,NA())</f>
        <v>#N/A</v>
      </c>
      <c r="J85" s="9">
        <v>300</v>
      </c>
      <c r="K85" s="9">
        <v>140</v>
      </c>
      <c r="L85" s="9">
        <v>80</v>
      </c>
      <c r="M85" s="10">
        <v>1.1145833333333599</v>
      </c>
      <c r="N85" s="9" t="e">
        <f t="shared" si="3"/>
        <v>#N/A</v>
      </c>
      <c r="O85" s="9" t="e">
        <f t="shared" si="4"/>
        <v>#N/A</v>
      </c>
      <c r="P85" s="9" t="e">
        <f t="shared" si="5"/>
        <v>#N/A</v>
      </c>
      <c r="R85" s="10"/>
    </row>
    <row r="86" spans="1:18">
      <c r="A86" s="10">
        <v>1.12500000000002</v>
      </c>
      <c r="B86" s="9" t="e">
        <f>IF(Mon!X5&gt;0,Mon!X5,NA())</f>
        <v>#N/A</v>
      </c>
      <c r="C86" s="9" t="e">
        <f>IF(Tues!X5&gt;0,Tues!X5,NA())</f>
        <v>#N/A</v>
      </c>
      <c r="D86" s="9" t="e">
        <f>IF(Wed!X5&gt;0,Wed!X5,NA())</f>
        <v>#N/A</v>
      </c>
      <c r="E86" s="9" t="e">
        <f>IF(Thurs!X5&gt;0,Thurs!X5,NA())</f>
        <v>#N/A</v>
      </c>
      <c r="F86" s="9" t="e">
        <f>IF(' Fri '!X5&gt;0,' Fri '!X5,NA())</f>
        <v>#N/A</v>
      </c>
      <c r="G86" s="9" t="e">
        <f>IF(Sat!X5&gt;0,Sat!X5,NA())</f>
        <v>#N/A</v>
      </c>
      <c r="H86" s="9" t="e">
        <f>IF(Sun!X5&gt;0,Sun!X5,NA())</f>
        <v>#N/A</v>
      </c>
      <c r="J86" s="9">
        <v>300</v>
      </c>
      <c r="K86" s="9">
        <v>140</v>
      </c>
      <c r="L86" s="9">
        <v>80</v>
      </c>
      <c r="M86" s="10">
        <v>1.12500000000002</v>
      </c>
      <c r="N86" s="9" t="e">
        <f t="shared" si="3"/>
        <v>#N/A</v>
      </c>
      <c r="O86" s="9" t="e">
        <f t="shared" si="4"/>
        <v>#N/A</v>
      </c>
      <c r="P86" s="9" t="e">
        <f t="shared" si="5"/>
        <v>#N/A</v>
      </c>
      <c r="R86" s="10"/>
    </row>
    <row r="87" spans="1:18">
      <c r="A87" s="10">
        <v>1.1354166666666901</v>
      </c>
      <c r="B87" s="9" t="e">
        <f>IF(Mon!X6&gt;0,Mon!X6,NA())</f>
        <v>#N/A</v>
      </c>
      <c r="C87" s="9" t="e">
        <f>IF(Tues!X6&gt;0,Tues!X6,NA())</f>
        <v>#N/A</v>
      </c>
      <c r="D87" s="9" t="e">
        <f>IF(Wed!X6&gt;0,Wed!X6,NA())</f>
        <v>#N/A</v>
      </c>
      <c r="E87" s="9" t="e">
        <f>IF(Thurs!X6&gt;0,Thurs!X6,NA())</f>
        <v>#N/A</v>
      </c>
      <c r="F87" s="9" t="e">
        <f>IF(' Fri '!X6&gt;0,' Fri '!X6,NA())</f>
        <v>#N/A</v>
      </c>
      <c r="G87" s="9" t="e">
        <f>IF(Sat!X6&gt;0,Sat!X6,NA())</f>
        <v>#N/A</v>
      </c>
      <c r="H87" s="9" t="e">
        <f>IF(Sun!X6&gt;0,Sun!X6,NA())</f>
        <v>#N/A</v>
      </c>
      <c r="J87" s="9">
        <v>300</v>
      </c>
      <c r="K87" s="9">
        <v>140</v>
      </c>
      <c r="L87" s="9">
        <v>80</v>
      </c>
      <c r="M87" s="10">
        <v>1.1354166666666901</v>
      </c>
      <c r="N87" s="9" t="e">
        <f t="shared" si="3"/>
        <v>#N/A</v>
      </c>
      <c r="O87" s="9" t="e">
        <f t="shared" si="4"/>
        <v>#N/A</v>
      </c>
      <c r="P87" s="9" t="e">
        <f t="shared" si="5"/>
        <v>#N/A</v>
      </c>
      <c r="R87" s="10"/>
    </row>
    <row r="88" spans="1:18">
      <c r="A88" s="10">
        <v>1.1458333333333599</v>
      </c>
      <c r="B88" s="9" t="e">
        <f>IF(Mon!X7&gt;0,Mon!X7,NA())</f>
        <v>#N/A</v>
      </c>
      <c r="C88" s="9" t="e">
        <f>IF(Tues!X7&gt;0,Tues!X7,NA())</f>
        <v>#N/A</v>
      </c>
      <c r="D88" s="9" t="e">
        <f>IF(Wed!X7&gt;0,Wed!X7,NA())</f>
        <v>#N/A</v>
      </c>
      <c r="E88" s="9" t="e">
        <f>IF(Thurs!X7&gt;0,Thurs!X7,NA())</f>
        <v>#N/A</v>
      </c>
      <c r="F88" s="9" t="e">
        <f>IF(' Fri '!X7&gt;0,' Fri '!X7,NA())</f>
        <v>#N/A</v>
      </c>
      <c r="G88" s="9" t="e">
        <f>IF(Sat!X7&gt;0,Sat!X7,NA())</f>
        <v>#N/A</v>
      </c>
      <c r="H88" s="9" t="e">
        <f>IF(Sun!X7&gt;0,Sun!X7,NA())</f>
        <v>#N/A</v>
      </c>
      <c r="J88" s="9">
        <v>300</v>
      </c>
      <c r="K88" s="9">
        <v>140</v>
      </c>
      <c r="L88" s="9">
        <v>80</v>
      </c>
      <c r="M88" s="10">
        <v>1.1458333333333599</v>
      </c>
      <c r="N88" s="9" t="e">
        <f t="shared" si="3"/>
        <v>#N/A</v>
      </c>
      <c r="O88" s="9" t="e">
        <f t="shared" si="4"/>
        <v>#N/A</v>
      </c>
      <c r="P88" s="9" t="e">
        <f t="shared" si="5"/>
        <v>#N/A</v>
      </c>
      <c r="R88" s="10"/>
    </row>
    <row r="89" spans="1:18">
      <c r="A89" s="10">
        <v>1.15625000000002</v>
      </c>
      <c r="B89" s="9" t="e">
        <f>IF(Mon!X8&gt;0,Mon!X8,NA())</f>
        <v>#N/A</v>
      </c>
      <c r="C89" s="9" t="e">
        <f>IF(Tues!X8&gt;0,Tues!X8,NA())</f>
        <v>#N/A</v>
      </c>
      <c r="D89" s="9" t="e">
        <f>IF(Wed!X8&gt;0,Wed!X8,NA())</f>
        <v>#N/A</v>
      </c>
      <c r="E89" s="9" t="e">
        <f>IF(Thurs!X8&gt;0,Thurs!X8,NA())</f>
        <v>#N/A</v>
      </c>
      <c r="F89" s="9" t="e">
        <f>IF(' Fri '!X8&gt;0,' Fri '!X8,NA())</f>
        <v>#N/A</v>
      </c>
      <c r="G89" s="9" t="e">
        <f>IF(Sat!X8&gt;0,Sat!X8,NA())</f>
        <v>#N/A</v>
      </c>
      <c r="H89" s="9" t="e">
        <f>IF(Sun!X8&gt;0,Sun!X8,NA())</f>
        <v>#N/A</v>
      </c>
      <c r="J89" s="9">
        <v>300</v>
      </c>
      <c r="K89" s="9">
        <v>140</v>
      </c>
      <c r="L89" s="9">
        <v>80</v>
      </c>
      <c r="M89" s="10">
        <v>1.15625000000002</v>
      </c>
      <c r="N89" s="9" t="e">
        <f t="shared" si="3"/>
        <v>#N/A</v>
      </c>
      <c r="O89" s="9" t="e">
        <f t="shared" si="4"/>
        <v>#N/A</v>
      </c>
      <c r="P89" s="9" t="e">
        <f t="shared" si="5"/>
        <v>#N/A</v>
      </c>
      <c r="R89" s="10"/>
    </row>
    <row r="90" spans="1:18">
      <c r="A90" s="10">
        <v>1.1666666666666901</v>
      </c>
      <c r="B90" s="9" t="e">
        <f>IF(Mon!Y5&gt;0,Mon!Y5,NA())</f>
        <v>#N/A</v>
      </c>
      <c r="C90" s="9" t="e">
        <f>IF(Tues!Y5&gt;0,Tues!Y5,NA())</f>
        <v>#N/A</v>
      </c>
      <c r="D90" s="9" t="e">
        <f>IF(Wed!Y5&gt;0,Wed!Y5,NA())</f>
        <v>#N/A</v>
      </c>
      <c r="E90" s="9" t="e">
        <f>IF(Thurs!Y5&gt;0,Thurs!Y5,NA())</f>
        <v>#N/A</v>
      </c>
      <c r="F90" s="9" t="e">
        <f>IF(' Fri '!Y5&gt;0,' Fri '!Y5,NA())</f>
        <v>#N/A</v>
      </c>
      <c r="G90" s="9" t="e">
        <f>IF(Sat!Y5&gt;0,Sat!Y5,NA())</f>
        <v>#N/A</v>
      </c>
      <c r="H90" s="9" t="e">
        <f>IF(Sun!Y5&gt;0,Sun!Y5,NA())</f>
        <v>#N/A</v>
      </c>
      <c r="J90" s="9">
        <v>300</v>
      </c>
      <c r="K90" s="9">
        <v>140</v>
      </c>
      <c r="L90" s="9">
        <v>80</v>
      </c>
      <c r="M90" s="10">
        <v>1.1666666666666901</v>
      </c>
      <c r="N90" s="9" t="e">
        <f t="shared" si="3"/>
        <v>#N/A</v>
      </c>
      <c r="O90" s="9" t="e">
        <f t="shared" si="4"/>
        <v>#N/A</v>
      </c>
      <c r="P90" s="9" t="e">
        <f t="shared" si="5"/>
        <v>#N/A</v>
      </c>
      <c r="R90" s="10"/>
    </row>
    <row r="91" spans="1:18">
      <c r="A91" s="10">
        <v>1.1770833333333599</v>
      </c>
      <c r="B91" s="9" t="e">
        <f>IF(Mon!Y6&gt;0,Mon!Y6,NA())</f>
        <v>#N/A</v>
      </c>
      <c r="C91" s="9" t="e">
        <f>IF(Tues!Y6&gt;0,Tues!Y6,NA())</f>
        <v>#N/A</v>
      </c>
      <c r="D91" s="9" t="e">
        <f>IF(Wed!Y6&gt;0,Wed!Y6,NA())</f>
        <v>#N/A</v>
      </c>
      <c r="E91" s="9" t="e">
        <f>IF(Thurs!Y6&gt;0,Thurs!Y6,NA())</f>
        <v>#N/A</v>
      </c>
      <c r="F91" s="9" t="e">
        <f>IF(' Fri '!Y6&gt;0,' Fri '!Y6,NA())</f>
        <v>#N/A</v>
      </c>
      <c r="G91" s="9" t="e">
        <f>IF(Sat!Y6&gt;0,Sat!Y6,NA())</f>
        <v>#N/A</v>
      </c>
      <c r="H91" s="9" t="e">
        <f>IF(Sun!Y6&gt;0,Sun!Y6,NA())</f>
        <v>#N/A</v>
      </c>
      <c r="J91" s="9">
        <v>300</v>
      </c>
      <c r="K91" s="9">
        <v>140</v>
      </c>
      <c r="L91" s="9">
        <v>80</v>
      </c>
      <c r="M91" s="10">
        <v>1.1770833333333599</v>
      </c>
      <c r="N91" s="9" t="e">
        <f t="shared" si="3"/>
        <v>#N/A</v>
      </c>
      <c r="O91" s="9" t="e">
        <f t="shared" si="4"/>
        <v>#N/A</v>
      </c>
      <c r="P91" s="9" t="e">
        <f t="shared" si="5"/>
        <v>#N/A</v>
      </c>
      <c r="R91" s="10"/>
    </row>
    <row r="92" spans="1:18">
      <c r="A92" s="10">
        <v>1.18750000000003</v>
      </c>
      <c r="B92" s="9" t="e">
        <f>IF(Mon!Y7&gt;0,Mon!Y7,NA())</f>
        <v>#N/A</v>
      </c>
      <c r="C92" s="9" t="e">
        <f>IF(Tues!Y7&gt;0,Tues!Y7,NA())</f>
        <v>#N/A</v>
      </c>
      <c r="D92" s="9" t="e">
        <f>IF(Wed!Y7&gt;0,Wed!Y7,NA())</f>
        <v>#N/A</v>
      </c>
      <c r="E92" s="9" t="e">
        <f>IF(Thurs!Y7&gt;0,Thurs!Y7,NA())</f>
        <v>#N/A</v>
      </c>
      <c r="F92" s="9" t="e">
        <f>IF(' Fri '!Y7&gt;0,' Fri '!Y7,NA())</f>
        <v>#N/A</v>
      </c>
      <c r="G92" s="9" t="e">
        <f>IF(Sat!Y7&gt;0,Sat!Y7,NA())</f>
        <v>#N/A</v>
      </c>
      <c r="H92" s="9" t="e">
        <f>IF(Sun!Y7&gt;0,Sun!Y7,NA())</f>
        <v>#N/A</v>
      </c>
      <c r="J92" s="9">
        <v>300</v>
      </c>
      <c r="K92" s="9">
        <v>140</v>
      </c>
      <c r="L92" s="9">
        <v>80</v>
      </c>
      <c r="M92" s="10">
        <v>1.18750000000003</v>
      </c>
      <c r="N92" s="9" t="e">
        <f t="shared" si="3"/>
        <v>#N/A</v>
      </c>
      <c r="O92" s="9" t="e">
        <f t="shared" si="4"/>
        <v>#N/A</v>
      </c>
      <c r="P92" s="9" t="e">
        <f t="shared" si="5"/>
        <v>#N/A</v>
      </c>
      <c r="R92" s="10"/>
    </row>
    <row r="93" spans="1:18">
      <c r="A93" s="10">
        <v>1.1979166666666901</v>
      </c>
      <c r="B93" s="9" t="e">
        <f>IF(Mon!Y8&gt;0,Mon!Y8,NA())</f>
        <v>#N/A</v>
      </c>
      <c r="C93" s="9" t="e">
        <f>IF(Tues!Y8&gt;0,Tues!Y8,NA())</f>
        <v>#N/A</v>
      </c>
      <c r="D93" s="9" t="e">
        <f>IF(Wed!Y8&gt;0,Wed!Y8,NA())</f>
        <v>#N/A</v>
      </c>
      <c r="E93" s="9" t="e">
        <f>IF(Thurs!Y8&gt;0,Thurs!Y8,NA())</f>
        <v>#N/A</v>
      </c>
      <c r="F93" s="9" t="e">
        <f>IF(' Fri '!Y8&gt;0,' Fri '!Y8,NA())</f>
        <v>#N/A</v>
      </c>
      <c r="G93" s="9" t="e">
        <f>IF(Sat!Y8&gt;0,Sat!Y8,NA())</f>
        <v>#N/A</v>
      </c>
      <c r="H93" s="9" t="e">
        <f>IF(Sun!Y8&gt;0,Sun!Y8,NA())</f>
        <v>#N/A</v>
      </c>
      <c r="J93" s="9">
        <v>300</v>
      </c>
      <c r="K93" s="9">
        <v>140</v>
      </c>
      <c r="L93" s="9">
        <v>80</v>
      </c>
      <c r="M93" s="10">
        <v>1.1979166666666901</v>
      </c>
      <c r="N93" s="9" t="e">
        <f t="shared" si="3"/>
        <v>#N/A</v>
      </c>
      <c r="O93" s="9" t="e">
        <f t="shared" si="4"/>
        <v>#N/A</v>
      </c>
      <c r="P93" s="9" t="e">
        <f t="shared" si="5"/>
        <v>#N/A</v>
      </c>
      <c r="R93" s="10"/>
    </row>
    <row r="94" spans="1:18">
      <c r="A94" s="10">
        <v>1.2083333333333599</v>
      </c>
      <c r="B94" s="9" t="e">
        <f>IF(Mon!Z5&gt;0,Mon!Z5,NA())</f>
        <v>#N/A</v>
      </c>
      <c r="C94" s="9" t="e">
        <f>IF(Tues!Z5&gt;0,Tues!Z5,NA())</f>
        <v>#N/A</v>
      </c>
      <c r="D94" s="9" t="e">
        <f>IF(Wed!Z5&gt;0,Wed!Z5,NA())</f>
        <v>#N/A</v>
      </c>
      <c r="E94" s="9" t="e">
        <f>IF(Thurs!Z5&gt;0,Thurs!Z5,NA())</f>
        <v>#N/A</v>
      </c>
      <c r="F94" s="9" t="e">
        <f>IF(' Fri '!Z5&gt;0,' Fri '!Z5,NA())</f>
        <v>#N/A</v>
      </c>
      <c r="G94" s="9" t="e">
        <f>IF(Sat!Z5&gt;0,Sat!Z5,NA())</f>
        <v>#N/A</v>
      </c>
      <c r="H94" s="9" t="e">
        <f>IF(Sun!Z5&gt;0,Sun!Z5,NA())</f>
        <v>#N/A</v>
      </c>
      <c r="J94" s="9">
        <v>300</v>
      </c>
      <c r="K94" s="9">
        <v>140</v>
      </c>
      <c r="L94" s="9">
        <v>80</v>
      </c>
      <c r="M94" s="10">
        <v>1.2083333333333599</v>
      </c>
      <c r="N94" s="9" t="e">
        <f t="shared" si="3"/>
        <v>#N/A</v>
      </c>
      <c r="O94" s="9" t="e">
        <f t="shared" si="4"/>
        <v>#N/A</v>
      </c>
      <c r="P94" s="9" t="e">
        <f t="shared" si="5"/>
        <v>#N/A</v>
      </c>
      <c r="R94" s="10"/>
    </row>
    <row r="95" spans="1:18">
      <c r="A95" s="10">
        <v>1.21875000000003</v>
      </c>
      <c r="B95" s="9" t="e">
        <f>IF(Mon!Z6&gt;0,Mon!Z6,NA())</f>
        <v>#N/A</v>
      </c>
      <c r="C95" s="9" t="e">
        <f>IF(Tues!Z6&gt;0,Tues!Z6,NA())</f>
        <v>#N/A</v>
      </c>
      <c r="D95" s="9" t="e">
        <f>IF(Wed!Z6&gt;0,Wed!Z6,NA())</f>
        <v>#N/A</v>
      </c>
      <c r="E95" s="9" t="e">
        <f>IF(Thurs!Z6&gt;0,Thurs!Z6,NA())</f>
        <v>#N/A</v>
      </c>
      <c r="F95" s="9" t="e">
        <f>IF(' Fri '!Z6&gt;0,' Fri '!Z6,NA())</f>
        <v>#N/A</v>
      </c>
      <c r="G95" s="9" t="e">
        <f>IF(Sat!Z6&gt;0,Sat!Z6,NA())</f>
        <v>#N/A</v>
      </c>
      <c r="H95" s="9" t="e">
        <f>IF(Sun!Z6&gt;0,Sun!Z6,NA())</f>
        <v>#N/A</v>
      </c>
      <c r="J95" s="9">
        <v>300</v>
      </c>
      <c r="K95" s="9">
        <v>140</v>
      </c>
      <c r="L95" s="9">
        <v>80</v>
      </c>
      <c r="M95" s="10">
        <v>1.21875000000003</v>
      </c>
      <c r="N95" s="9" t="e">
        <f t="shared" si="3"/>
        <v>#N/A</v>
      </c>
      <c r="O95" s="9" t="e">
        <f t="shared" si="4"/>
        <v>#N/A</v>
      </c>
      <c r="P95" s="9" t="e">
        <f t="shared" si="5"/>
        <v>#N/A</v>
      </c>
      <c r="R95" s="10"/>
    </row>
    <row r="96" spans="1:18">
      <c r="A96" s="10">
        <v>1.2291666666666901</v>
      </c>
      <c r="B96" s="9" t="e">
        <f>IF(Mon!Z7&gt;0,Mon!Z7,NA())</f>
        <v>#N/A</v>
      </c>
      <c r="C96" s="9" t="e">
        <f>IF(Tues!Z7&gt;0,Tues!Z7,NA())</f>
        <v>#N/A</v>
      </c>
      <c r="D96" s="9" t="e">
        <f>IF(Wed!Z7&gt;0,Wed!Z7,NA())</f>
        <v>#N/A</v>
      </c>
      <c r="E96" s="9" t="e">
        <f>IF(Thurs!Z7&gt;0,Thurs!Z7,NA())</f>
        <v>#N/A</v>
      </c>
      <c r="F96" s="9" t="e">
        <f>IF(' Fri '!Z7&gt;0,' Fri '!Z7,NA())</f>
        <v>#N/A</v>
      </c>
      <c r="G96" s="9" t="e">
        <f>IF(Sat!Z7&gt;0,Sat!Z7,NA())</f>
        <v>#N/A</v>
      </c>
      <c r="H96" s="9" t="e">
        <f>IF(Sun!Z7&gt;0,Sun!Z7,NA())</f>
        <v>#N/A</v>
      </c>
      <c r="J96" s="9">
        <v>300</v>
      </c>
      <c r="K96" s="9">
        <v>140</v>
      </c>
      <c r="L96" s="9">
        <v>80</v>
      </c>
      <c r="M96" s="10">
        <v>1.2291666666666901</v>
      </c>
      <c r="N96" s="9" t="e">
        <f t="shared" si="3"/>
        <v>#N/A</v>
      </c>
      <c r="O96" s="9" t="e">
        <f t="shared" si="4"/>
        <v>#N/A</v>
      </c>
      <c r="P96" s="9" t="e">
        <f t="shared" si="5"/>
        <v>#N/A</v>
      </c>
      <c r="R96" s="10"/>
    </row>
    <row r="97" spans="1:18">
      <c r="A97" s="10">
        <v>1.2395833333333599</v>
      </c>
      <c r="B97" s="9" t="e">
        <f>IF(Mon!Z8&gt;0,Mon!Z8,NA())</f>
        <v>#N/A</v>
      </c>
      <c r="C97" s="9" t="e">
        <f>IF(Tues!Z8&gt;0,Tues!Z8,NA())</f>
        <v>#N/A</v>
      </c>
      <c r="D97" s="9" t="e">
        <f>IF(Wed!Z8&gt;0,Wed!Z8,NA())</f>
        <v>#N/A</v>
      </c>
      <c r="E97" s="9" t="e">
        <f>IF(Thurs!Z8&gt;0,Thurs!Z8,NA())</f>
        <v>#N/A</v>
      </c>
      <c r="F97" s="9" t="e">
        <f>IF(' Fri '!Z8&gt;0,' Fri '!Z8,NA())</f>
        <v>#N/A</v>
      </c>
      <c r="G97" s="9" t="e">
        <f>IF(Sat!Z8&gt;0,Sat!Z8,NA())</f>
        <v>#N/A</v>
      </c>
      <c r="H97" s="9" t="e">
        <f>IF(Sun!Z8&gt;0,Sun!Z8,NA())</f>
        <v>#N/A</v>
      </c>
      <c r="J97" s="9">
        <v>300</v>
      </c>
      <c r="K97" s="9">
        <v>140</v>
      </c>
      <c r="L97" s="9">
        <v>80</v>
      </c>
      <c r="M97" s="10">
        <v>1.2395833333333599</v>
      </c>
      <c r="N97" s="9" t="e">
        <f t="shared" si="3"/>
        <v>#N/A</v>
      </c>
      <c r="O97" s="9" t="e">
        <f t="shared" si="4"/>
        <v>#N/A</v>
      </c>
      <c r="P97" s="9" t="e">
        <f t="shared" si="5"/>
        <v>#N/A</v>
      </c>
      <c r="R97" s="10"/>
    </row>
    <row r="98" spans="1:18">
      <c r="A98" s="10"/>
      <c r="M98" s="10"/>
      <c r="R98" s="10"/>
    </row>
    <row r="99" spans="1:18">
      <c r="A99" s="83"/>
      <c r="B99" s="84" t="s">
        <v>99</v>
      </c>
      <c r="C99" s="84"/>
      <c r="D99" s="84"/>
      <c r="E99" s="84"/>
      <c r="F99" s="84"/>
      <c r="G99" s="84"/>
      <c r="H99" s="84"/>
      <c r="M99" s="10"/>
      <c r="R99" s="10"/>
    </row>
    <row r="100" spans="1:18">
      <c r="A100" s="10"/>
      <c r="B100" s="9" t="s">
        <v>63</v>
      </c>
      <c r="C100" s="9" t="s">
        <v>64</v>
      </c>
      <c r="D100" s="9" t="s">
        <v>65</v>
      </c>
      <c r="E100" s="9" t="s">
        <v>66</v>
      </c>
      <c r="F100" s="9" t="s">
        <v>67</v>
      </c>
      <c r="G100" s="9" t="s">
        <v>68</v>
      </c>
      <c r="H100" s="9" t="s">
        <v>69</v>
      </c>
      <c r="M100" s="10"/>
      <c r="R100" s="10"/>
    </row>
    <row r="101" spans="1:18">
      <c r="A101" s="9" t="s">
        <v>58</v>
      </c>
      <c r="B101" s="9">
        <f>IF(COUNTIF(B2:B97,"&gt;0")&gt;0,SUMIF(B2:B97,"&gt;0"),0)</f>
        <v>0</v>
      </c>
      <c r="C101" s="9">
        <f t="shared" ref="C101:H101" si="6">IF(COUNTIF(C2:C97,"&gt;0")&gt;0,SUMIF(C2:C97,"&gt;0"),0)</f>
        <v>0</v>
      </c>
      <c r="D101" s="9">
        <f t="shared" si="6"/>
        <v>0</v>
      </c>
      <c r="E101" s="9">
        <f t="shared" si="6"/>
        <v>0</v>
      </c>
      <c r="F101" s="9">
        <f t="shared" si="6"/>
        <v>0</v>
      </c>
      <c r="G101" s="9">
        <f t="shared" si="6"/>
        <v>0</v>
      </c>
      <c r="H101" s="9">
        <f t="shared" si="6"/>
        <v>0</v>
      </c>
    </row>
    <row r="102" spans="1:18">
      <c r="A102" s="9" t="s">
        <v>59</v>
      </c>
      <c r="B102" s="9">
        <f>COUNTIF(B2:B97,"&gt;0")</f>
        <v>0</v>
      </c>
      <c r="C102" s="9">
        <f t="shared" ref="C102:H102" si="7">COUNTIF(C2:C97,"&gt;0")</f>
        <v>0</v>
      </c>
      <c r="D102" s="9">
        <f t="shared" si="7"/>
        <v>0</v>
      </c>
      <c r="E102" s="9">
        <f t="shared" si="7"/>
        <v>0</v>
      </c>
      <c r="F102" s="9">
        <f t="shared" si="7"/>
        <v>0</v>
      </c>
      <c r="G102" s="9">
        <f t="shared" si="7"/>
        <v>0</v>
      </c>
      <c r="H102" s="9">
        <f t="shared" si="7"/>
        <v>0</v>
      </c>
    </row>
    <row r="103" spans="1:18">
      <c r="A103" s="9" t="s">
        <v>38</v>
      </c>
      <c r="B103" s="41">
        <f>IF(B102&gt;0,B101/B102,0)</f>
        <v>0</v>
      </c>
      <c r="C103" s="41">
        <f t="shared" ref="C103:H103" si="8">IF(C102&gt;0,C101/C102,0)</f>
        <v>0</v>
      </c>
      <c r="D103" s="41">
        <f t="shared" si="8"/>
        <v>0</v>
      </c>
      <c r="E103" s="41">
        <f t="shared" si="8"/>
        <v>0</v>
      </c>
      <c r="F103" s="41">
        <f t="shared" si="8"/>
        <v>0</v>
      </c>
      <c r="G103" s="41">
        <f t="shared" si="8"/>
        <v>0</v>
      </c>
      <c r="H103" s="41">
        <f t="shared" si="8"/>
        <v>0</v>
      </c>
    </row>
    <row r="104" spans="1:18">
      <c r="A104" s="9" t="s">
        <v>61</v>
      </c>
      <c r="B104">
        <f t="array" ref="B104">MAX(IF(ISNUMBER(B2:B97),B2:B97))</f>
        <v>0</v>
      </c>
      <c r="C104">
        <f t="array" ref="C104">MAX(IF(ISNUMBER(C2:C97),C2:C97))</f>
        <v>0</v>
      </c>
      <c r="D104">
        <f t="array" ref="D104">MAX(IF(ISNUMBER(D2:D97),D2:D97))</f>
        <v>0</v>
      </c>
      <c r="E104">
        <f t="array" ref="E104">MAX(IF(ISNUMBER(E2:E97),E2:E97))</f>
        <v>0</v>
      </c>
      <c r="F104">
        <f t="array" ref="F104">MAX(IF(ISNUMBER(F2:F97),F2:F97))</f>
        <v>0</v>
      </c>
      <c r="G104">
        <f t="array" ref="G104">MAX(IF(ISNUMBER(G2:G97),G2:G97))</f>
        <v>0</v>
      </c>
      <c r="H104">
        <f t="array" ref="H104">MAX(IF(ISNUMBER(H2:H97),H2:H97))</f>
        <v>0</v>
      </c>
    </row>
    <row r="105" spans="1:18">
      <c r="A105" s="9" t="s">
        <v>60</v>
      </c>
      <c r="B105">
        <f t="array" ref="B105">MIN(IF(ISNUMBER(B2:B97),B2:B97))</f>
        <v>0</v>
      </c>
      <c r="C105">
        <f t="array" ref="C105">MIN(IF(ISNUMBER(C2:C97),C2:C97))</f>
        <v>0</v>
      </c>
      <c r="D105">
        <f t="array" ref="D105">MIN(IF(ISNUMBER(D2:D97),D2:D97))</f>
        <v>0</v>
      </c>
      <c r="E105">
        <f t="array" ref="E105">MIN(IF(ISNUMBER(E2:E97),E2:E97))</f>
        <v>0</v>
      </c>
      <c r="F105">
        <f t="array" ref="F105">MIN(IF(ISNUMBER(F2:F97),F2:F97))</f>
        <v>0</v>
      </c>
      <c r="G105">
        <f t="array" ref="G105">MIN(IF(ISNUMBER(G2:G97),G2:G97))</f>
        <v>0</v>
      </c>
      <c r="H105">
        <f t="array" ref="H105">MIN(IF(ISNUMBER(H2:H97),H2:H97))</f>
        <v>0</v>
      </c>
    </row>
    <row r="106" spans="1:18">
      <c r="B106"/>
      <c r="C106"/>
      <c r="D106"/>
      <c r="E106"/>
      <c r="F106"/>
      <c r="G106"/>
      <c r="H106"/>
    </row>
    <row r="107" spans="1:18">
      <c r="A107" s="82"/>
      <c r="B107" s="84" t="s">
        <v>100</v>
      </c>
      <c r="C107" s="82"/>
      <c r="D107" s="82"/>
    </row>
    <row r="108" spans="1:18">
      <c r="B108" s="9" t="s">
        <v>55</v>
      </c>
      <c r="C108" s="9" t="s">
        <v>56</v>
      </c>
      <c r="D108" s="9" t="s">
        <v>57</v>
      </c>
    </row>
    <row r="109" spans="1:18">
      <c r="A109" s="9" t="s">
        <v>62</v>
      </c>
      <c r="B109" s="9">
        <f>IF(COUNTIF(B2:F97,"&gt;0")&gt;0,SUMIF(B2:F97,"&gt;0"),0)</f>
        <v>0</v>
      </c>
      <c r="C109" s="9">
        <f>IF(COUNTIF(G2:H97,"&gt;0")&gt;0,SUMIF(G2:H97,"&gt;0"),0)</f>
        <v>0</v>
      </c>
      <c r="D109" s="9">
        <f>IF(COUNTIF(B2:H97,"&gt;0")&gt;0,SUMIF(B2:H97,"&gt;0"),0)</f>
        <v>0</v>
      </c>
    </row>
    <row r="110" spans="1:18">
      <c r="A110" s="9" t="s">
        <v>59</v>
      </c>
      <c r="B110" s="9">
        <f>COUNTIF(B2:F97,"&gt;0")</f>
        <v>0</v>
      </c>
      <c r="C110" s="9">
        <f>COUNTIF(G2:H97,"&gt;0")</f>
        <v>0</v>
      </c>
      <c r="D110" s="9">
        <f>COUNTIF(B2:H97,"&gt;0")</f>
        <v>0</v>
      </c>
    </row>
    <row r="111" spans="1:18">
      <c r="A111" s="9" t="s">
        <v>38</v>
      </c>
      <c r="B111" s="41">
        <f>IF(B110&gt;0,B109/B110,0)</f>
        <v>0</v>
      </c>
      <c r="C111" s="41">
        <f>IF(C110&gt;0,C109/C110,0)</f>
        <v>0</v>
      </c>
      <c r="D111" s="41">
        <f>IF(D110&gt;0,D109/D110,0)</f>
        <v>0</v>
      </c>
    </row>
    <row r="113" spans="1:12">
      <c r="A113" s="84"/>
      <c r="B113" s="84" t="s">
        <v>101</v>
      </c>
      <c r="C113" s="84"/>
      <c r="D113" s="84"/>
      <c r="E113" s="84"/>
      <c r="F113" s="82"/>
    </row>
    <row r="114" spans="1:12">
      <c r="B114" s="9" t="s">
        <v>91</v>
      </c>
      <c r="C114" s="9" t="s">
        <v>34</v>
      </c>
      <c r="D114" s="9" t="s">
        <v>35</v>
      </c>
      <c r="E114" s="9" t="s">
        <v>36</v>
      </c>
      <c r="F114" s="9" t="s">
        <v>104</v>
      </c>
    </row>
    <row r="115" spans="1:12">
      <c r="A115" s="9" t="s">
        <v>88</v>
      </c>
      <c r="B115" s="76">
        <f>COUNTIF($B2:$H97,"&gt;140")</f>
        <v>0</v>
      </c>
      <c r="C115" s="76">
        <f>COUNTIF($B2:$H25,"&gt;140")</f>
        <v>0</v>
      </c>
      <c r="D115" s="76">
        <f>COUNTIF($B26:$H45,"&gt;140")</f>
        <v>0</v>
      </c>
      <c r="E115" s="76">
        <f>COUNTIF($B46:$H65,"&gt;140")</f>
        <v>0</v>
      </c>
      <c r="F115" s="76">
        <f>COUNTIF($B66:$H97,"&gt;140")</f>
        <v>0</v>
      </c>
    </row>
    <row r="116" spans="1:12">
      <c r="A116" s="9" t="s">
        <v>89</v>
      </c>
      <c r="B116" s="9">
        <f>COUNTIF($B2:$H97,"&lt;80")</f>
        <v>0</v>
      </c>
      <c r="C116" s="9">
        <f>COUNTIF($B2:$H25,"&lt;80")</f>
        <v>0</v>
      </c>
      <c r="D116" s="9">
        <f>COUNTIF($B26:$H45,"&lt;80")</f>
        <v>0</v>
      </c>
      <c r="E116" s="9">
        <f>COUNTIF($B46:$H65,"&lt;80")</f>
        <v>0</v>
      </c>
      <c r="F116" s="9">
        <f>COUNTIF($B66:$H97,"&lt;80")</f>
        <v>0</v>
      </c>
    </row>
    <row r="117" spans="1:12">
      <c r="A117" s="9" t="s">
        <v>90</v>
      </c>
      <c r="B117" s="9">
        <f>COUNTIF($B2:$H97,"&gt;0")-(B116+B115)</f>
        <v>0</v>
      </c>
      <c r="C117" s="9">
        <f>COUNTIF($B2:$H25,"&gt;0")-(C116+C115)</f>
        <v>0</v>
      </c>
      <c r="D117" s="9">
        <f>COUNTIF($B26:$H45,"&gt;0")-(D116+D115)</f>
        <v>0</v>
      </c>
      <c r="E117" s="9">
        <f>COUNTIF($B46:$H65,"&gt;0")-(E116+E115)</f>
        <v>0</v>
      </c>
      <c r="F117" s="9">
        <f>COUNTIF($B66:$H97,"&gt;0")-(F116+F115)</f>
        <v>0</v>
      </c>
    </row>
    <row r="122" spans="1:12">
      <c r="A122" s="10">
        <v>0.25</v>
      </c>
      <c r="B122" s="9" t="e">
        <f>B2</f>
        <v>#N/A</v>
      </c>
      <c r="J122" s="9">
        <v>300</v>
      </c>
      <c r="K122" s="9">
        <v>140</v>
      </c>
      <c r="L122" s="9">
        <v>80</v>
      </c>
    </row>
    <row r="123" spans="1:12">
      <c r="A123" s="10">
        <v>0.26041666666666669</v>
      </c>
      <c r="B123" s="9" t="e">
        <f t="shared" ref="B123:B186" si="9">B3</f>
        <v>#N/A</v>
      </c>
      <c r="J123" s="9">
        <v>300</v>
      </c>
      <c r="K123" s="9">
        <v>140</v>
      </c>
      <c r="L123" s="9">
        <v>80</v>
      </c>
    </row>
    <row r="124" spans="1:12">
      <c r="A124" s="10">
        <v>0.27083333333333331</v>
      </c>
      <c r="B124" s="9" t="e">
        <f t="shared" si="9"/>
        <v>#N/A</v>
      </c>
      <c r="J124" s="9">
        <v>300</v>
      </c>
      <c r="K124" s="9">
        <v>140</v>
      </c>
      <c r="L124" s="9">
        <v>80</v>
      </c>
    </row>
    <row r="125" spans="1:12">
      <c r="A125" s="10">
        <v>0.28125</v>
      </c>
      <c r="B125" s="9" t="e">
        <f t="shared" si="9"/>
        <v>#N/A</v>
      </c>
      <c r="J125" s="9">
        <v>300</v>
      </c>
      <c r="K125" s="9">
        <v>140</v>
      </c>
      <c r="L125" s="9">
        <v>80</v>
      </c>
    </row>
    <row r="126" spans="1:12">
      <c r="A126" s="10">
        <v>0.29166666666666702</v>
      </c>
      <c r="B126" s="9" t="e">
        <f t="shared" si="9"/>
        <v>#N/A</v>
      </c>
      <c r="J126" s="9">
        <v>300</v>
      </c>
      <c r="K126" s="9">
        <v>140</v>
      </c>
      <c r="L126" s="9">
        <v>80</v>
      </c>
    </row>
    <row r="127" spans="1:12">
      <c r="A127" s="10">
        <v>0.30208333333333298</v>
      </c>
      <c r="B127" s="9" t="e">
        <f t="shared" si="9"/>
        <v>#N/A</v>
      </c>
      <c r="J127" s="9">
        <v>300</v>
      </c>
      <c r="K127" s="9">
        <v>140</v>
      </c>
      <c r="L127" s="9">
        <v>80</v>
      </c>
    </row>
    <row r="128" spans="1:12">
      <c r="A128" s="10">
        <v>0.3125</v>
      </c>
      <c r="B128" s="9" t="e">
        <f t="shared" si="9"/>
        <v>#N/A</v>
      </c>
      <c r="J128" s="9">
        <v>300</v>
      </c>
      <c r="K128" s="9">
        <v>140</v>
      </c>
      <c r="L128" s="9">
        <v>80</v>
      </c>
    </row>
    <row r="129" spans="1:12">
      <c r="A129" s="10">
        <v>0.32291666666666702</v>
      </c>
      <c r="B129" s="9" t="e">
        <f t="shared" si="9"/>
        <v>#N/A</v>
      </c>
      <c r="J129" s="9">
        <v>300</v>
      </c>
      <c r="K129" s="9">
        <v>140</v>
      </c>
      <c r="L129" s="9">
        <v>80</v>
      </c>
    </row>
    <row r="130" spans="1:12">
      <c r="A130" s="10">
        <v>0.33333333333333298</v>
      </c>
      <c r="B130" s="9" t="e">
        <f t="shared" si="9"/>
        <v>#N/A</v>
      </c>
      <c r="J130" s="9">
        <v>300</v>
      </c>
      <c r="K130" s="9">
        <v>140</v>
      </c>
      <c r="L130" s="9">
        <v>80</v>
      </c>
    </row>
    <row r="131" spans="1:12">
      <c r="A131" s="10">
        <v>0.34375</v>
      </c>
      <c r="B131" s="9" t="e">
        <f t="shared" si="9"/>
        <v>#N/A</v>
      </c>
      <c r="J131" s="9">
        <v>300</v>
      </c>
      <c r="K131" s="9">
        <v>140</v>
      </c>
      <c r="L131" s="9">
        <v>80</v>
      </c>
    </row>
    <row r="132" spans="1:12">
      <c r="A132" s="10">
        <v>0.35416666666666702</v>
      </c>
      <c r="B132" s="9" t="e">
        <f t="shared" si="9"/>
        <v>#N/A</v>
      </c>
      <c r="J132" s="9">
        <v>300</v>
      </c>
      <c r="K132" s="9">
        <v>140</v>
      </c>
      <c r="L132" s="9">
        <v>80</v>
      </c>
    </row>
    <row r="133" spans="1:12">
      <c r="A133" s="10">
        <v>0.36458333333333398</v>
      </c>
      <c r="B133" s="9" t="e">
        <f t="shared" si="9"/>
        <v>#N/A</v>
      </c>
      <c r="J133" s="9">
        <v>300</v>
      </c>
      <c r="K133" s="9">
        <v>140</v>
      </c>
      <c r="L133" s="9">
        <v>80</v>
      </c>
    </row>
    <row r="134" spans="1:12">
      <c r="A134" s="10">
        <v>0.375</v>
      </c>
      <c r="B134" s="9" t="e">
        <f t="shared" si="9"/>
        <v>#N/A</v>
      </c>
      <c r="J134" s="9">
        <v>300</v>
      </c>
      <c r="K134" s="9">
        <v>140</v>
      </c>
      <c r="L134" s="9">
        <v>80</v>
      </c>
    </row>
    <row r="135" spans="1:12">
      <c r="A135" s="10">
        <v>0.38541666666666702</v>
      </c>
      <c r="B135" s="9" t="e">
        <f t="shared" si="9"/>
        <v>#N/A</v>
      </c>
      <c r="J135" s="9">
        <v>300</v>
      </c>
      <c r="K135" s="9">
        <v>140</v>
      </c>
      <c r="L135" s="9">
        <v>80</v>
      </c>
    </row>
    <row r="136" spans="1:12">
      <c r="A136" s="10">
        <v>0.39583333333333398</v>
      </c>
      <c r="B136" s="9" t="e">
        <f t="shared" si="9"/>
        <v>#N/A</v>
      </c>
      <c r="J136" s="9">
        <v>300</v>
      </c>
      <c r="K136" s="9">
        <v>140</v>
      </c>
      <c r="L136" s="9">
        <v>80</v>
      </c>
    </row>
    <row r="137" spans="1:12">
      <c r="A137" s="10">
        <v>0.40625</v>
      </c>
      <c r="B137" s="9" t="e">
        <f t="shared" si="9"/>
        <v>#N/A</v>
      </c>
      <c r="J137" s="9">
        <v>300</v>
      </c>
      <c r="K137" s="9">
        <v>140</v>
      </c>
      <c r="L137" s="9">
        <v>80</v>
      </c>
    </row>
    <row r="138" spans="1:12">
      <c r="A138" s="10">
        <v>0.41666666666666702</v>
      </c>
      <c r="B138" s="9" t="e">
        <f t="shared" si="9"/>
        <v>#N/A</v>
      </c>
      <c r="J138" s="9">
        <v>300</v>
      </c>
      <c r="K138" s="9">
        <v>140</v>
      </c>
      <c r="L138" s="9">
        <v>80</v>
      </c>
    </row>
    <row r="139" spans="1:12">
      <c r="A139" s="10">
        <v>0.42708333333333398</v>
      </c>
      <c r="B139" s="9" t="e">
        <f t="shared" si="9"/>
        <v>#N/A</v>
      </c>
      <c r="J139" s="9">
        <v>300</v>
      </c>
      <c r="K139" s="9">
        <v>140</v>
      </c>
      <c r="L139" s="9">
        <v>80</v>
      </c>
    </row>
    <row r="140" spans="1:12">
      <c r="A140" s="10">
        <v>0.4375</v>
      </c>
      <c r="B140" s="9" t="e">
        <f t="shared" si="9"/>
        <v>#N/A</v>
      </c>
      <c r="J140" s="9">
        <v>300</v>
      </c>
      <c r="K140" s="9">
        <v>140</v>
      </c>
      <c r="L140" s="9">
        <v>80</v>
      </c>
    </row>
    <row r="141" spans="1:12">
      <c r="A141" s="10">
        <v>0.44791666666666702</v>
      </c>
      <c r="B141" s="9" t="e">
        <f t="shared" si="9"/>
        <v>#N/A</v>
      </c>
      <c r="J141" s="9">
        <v>300</v>
      </c>
      <c r="K141" s="9">
        <v>140</v>
      </c>
      <c r="L141" s="9">
        <v>80</v>
      </c>
    </row>
    <row r="142" spans="1:12">
      <c r="A142" s="10">
        <v>0.45833333333333398</v>
      </c>
      <c r="B142" s="9" t="e">
        <f t="shared" si="9"/>
        <v>#N/A</v>
      </c>
      <c r="J142" s="9">
        <v>300</v>
      </c>
      <c r="K142" s="9">
        <v>140</v>
      </c>
      <c r="L142" s="9">
        <v>80</v>
      </c>
    </row>
    <row r="143" spans="1:12">
      <c r="A143" s="10">
        <v>0.46875</v>
      </c>
      <c r="B143" s="9" t="e">
        <f t="shared" si="9"/>
        <v>#N/A</v>
      </c>
      <c r="J143" s="9">
        <v>300</v>
      </c>
      <c r="K143" s="9">
        <v>140</v>
      </c>
      <c r="L143" s="9">
        <v>80</v>
      </c>
    </row>
    <row r="144" spans="1:12">
      <c r="A144" s="10">
        <v>0.47916666666666702</v>
      </c>
      <c r="B144" s="9" t="e">
        <f t="shared" si="9"/>
        <v>#N/A</v>
      </c>
      <c r="J144" s="9">
        <v>300</v>
      </c>
      <c r="K144" s="9">
        <v>140</v>
      </c>
      <c r="L144" s="9">
        <v>80</v>
      </c>
    </row>
    <row r="145" spans="1:12">
      <c r="A145" s="10">
        <v>0.48958333333333398</v>
      </c>
      <c r="B145" s="9" t="e">
        <f t="shared" si="9"/>
        <v>#N/A</v>
      </c>
      <c r="J145" s="9">
        <v>300</v>
      </c>
      <c r="K145" s="9">
        <v>140</v>
      </c>
      <c r="L145" s="9">
        <v>80</v>
      </c>
    </row>
    <row r="146" spans="1:12">
      <c r="A146" s="10">
        <v>0.5</v>
      </c>
      <c r="B146" s="9" t="e">
        <f t="shared" si="9"/>
        <v>#N/A</v>
      </c>
      <c r="J146" s="9">
        <v>300</v>
      </c>
      <c r="K146" s="9">
        <v>140</v>
      </c>
      <c r="L146" s="9">
        <v>80</v>
      </c>
    </row>
    <row r="147" spans="1:12">
      <c r="A147" s="10">
        <v>0.51041666666666696</v>
      </c>
      <c r="B147" s="9" t="e">
        <f t="shared" si="9"/>
        <v>#N/A</v>
      </c>
      <c r="J147" s="9">
        <v>300</v>
      </c>
      <c r="K147" s="9">
        <v>140</v>
      </c>
      <c r="L147" s="9">
        <v>80</v>
      </c>
    </row>
    <row r="148" spans="1:12">
      <c r="A148" s="10">
        <v>0.52083333333333404</v>
      </c>
      <c r="B148" s="9" t="e">
        <f t="shared" si="9"/>
        <v>#N/A</v>
      </c>
      <c r="J148" s="9">
        <v>300</v>
      </c>
      <c r="K148" s="9">
        <v>140</v>
      </c>
      <c r="L148" s="9">
        <v>80</v>
      </c>
    </row>
    <row r="149" spans="1:12">
      <c r="A149" s="10">
        <v>0.53125</v>
      </c>
      <c r="B149" s="9" t="e">
        <f t="shared" si="9"/>
        <v>#N/A</v>
      </c>
      <c r="J149" s="9">
        <v>300</v>
      </c>
      <c r="K149" s="9">
        <v>140</v>
      </c>
      <c r="L149" s="9">
        <v>80</v>
      </c>
    </row>
    <row r="150" spans="1:12">
      <c r="A150" s="10">
        <v>0.54166666666666696</v>
      </c>
      <c r="B150" s="9" t="e">
        <f t="shared" si="9"/>
        <v>#N/A</v>
      </c>
      <c r="J150" s="9">
        <v>300</v>
      </c>
      <c r="K150" s="9">
        <v>140</v>
      </c>
      <c r="L150" s="9">
        <v>80</v>
      </c>
    </row>
    <row r="151" spans="1:12">
      <c r="A151" s="10">
        <v>0.55208333333333404</v>
      </c>
      <c r="B151" s="9" t="e">
        <f t="shared" si="9"/>
        <v>#N/A</v>
      </c>
      <c r="J151" s="9">
        <v>300</v>
      </c>
      <c r="K151" s="9">
        <v>140</v>
      </c>
      <c r="L151" s="9">
        <v>80</v>
      </c>
    </row>
    <row r="152" spans="1:12">
      <c r="A152" s="10">
        <v>0.562500000000001</v>
      </c>
      <c r="B152" s="9" t="e">
        <f t="shared" si="9"/>
        <v>#N/A</v>
      </c>
      <c r="J152" s="9">
        <v>300</v>
      </c>
      <c r="K152" s="9">
        <v>140</v>
      </c>
      <c r="L152" s="9">
        <v>80</v>
      </c>
    </row>
    <row r="153" spans="1:12">
      <c r="A153" s="10">
        <v>0.57291666666666696</v>
      </c>
      <c r="B153" s="9" t="e">
        <f t="shared" si="9"/>
        <v>#N/A</v>
      </c>
      <c r="J153" s="9">
        <v>300</v>
      </c>
      <c r="K153" s="9">
        <v>140</v>
      </c>
      <c r="L153" s="9">
        <v>80</v>
      </c>
    </row>
    <row r="154" spans="1:12">
      <c r="A154" s="10">
        <v>0.58333333333333504</v>
      </c>
      <c r="B154" s="9" t="e">
        <f t="shared" si="9"/>
        <v>#N/A</v>
      </c>
      <c r="J154" s="9">
        <v>300</v>
      </c>
      <c r="K154" s="9">
        <v>140</v>
      </c>
      <c r="L154" s="9">
        <v>80</v>
      </c>
    </row>
    <row r="155" spans="1:12">
      <c r="A155" s="10">
        <v>0.593750000000002</v>
      </c>
      <c r="B155" s="9" t="e">
        <f t="shared" si="9"/>
        <v>#N/A</v>
      </c>
      <c r="J155" s="9">
        <v>300</v>
      </c>
      <c r="K155" s="9">
        <v>140</v>
      </c>
      <c r="L155" s="9">
        <v>80</v>
      </c>
    </row>
    <row r="156" spans="1:12">
      <c r="A156" s="10">
        <v>0.60416666666666896</v>
      </c>
      <c r="B156" s="9" t="e">
        <f t="shared" si="9"/>
        <v>#N/A</v>
      </c>
      <c r="J156" s="9">
        <v>300</v>
      </c>
      <c r="K156" s="9">
        <v>140</v>
      </c>
      <c r="L156" s="9">
        <v>80</v>
      </c>
    </row>
    <row r="157" spans="1:12">
      <c r="A157" s="10">
        <v>0.61458333333333603</v>
      </c>
      <c r="B157" s="9" t="e">
        <f t="shared" si="9"/>
        <v>#N/A</v>
      </c>
      <c r="J157" s="9">
        <v>300</v>
      </c>
      <c r="K157" s="9">
        <v>140</v>
      </c>
      <c r="L157" s="9">
        <v>80</v>
      </c>
    </row>
    <row r="158" spans="1:12">
      <c r="A158" s="10">
        <v>0.625000000000004</v>
      </c>
      <c r="B158" s="9" t="e">
        <f t="shared" si="9"/>
        <v>#N/A</v>
      </c>
      <c r="J158" s="9">
        <v>300</v>
      </c>
      <c r="K158" s="9">
        <v>140</v>
      </c>
      <c r="L158" s="9">
        <v>80</v>
      </c>
    </row>
    <row r="159" spans="1:12">
      <c r="A159" s="10">
        <v>0.63541666666667096</v>
      </c>
      <c r="B159" s="9" t="e">
        <f t="shared" si="9"/>
        <v>#N/A</v>
      </c>
      <c r="J159" s="9">
        <v>300</v>
      </c>
      <c r="K159" s="9">
        <v>140</v>
      </c>
      <c r="L159" s="9">
        <v>80</v>
      </c>
    </row>
    <row r="160" spans="1:12">
      <c r="A160" s="10">
        <v>0.64583333333333803</v>
      </c>
      <c r="B160" s="9" t="e">
        <f t="shared" si="9"/>
        <v>#N/A</v>
      </c>
      <c r="J160" s="9">
        <v>300</v>
      </c>
      <c r="K160" s="9">
        <v>140</v>
      </c>
      <c r="L160" s="9">
        <v>80</v>
      </c>
    </row>
    <row r="161" spans="1:12">
      <c r="A161" s="10">
        <v>0.656250000000005</v>
      </c>
      <c r="B161" s="9" t="e">
        <f t="shared" si="9"/>
        <v>#N/A</v>
      </c>
      <c r="J161" s="9">
        <v>300</v>
      </c>
      <c r="K161" s="9">
        <v>140</v>
      </c>
      <c r="L161" s="9">
        <v>80</v>
      </c>
    </row>
    <row r="162" spans="1:12">
      <c r="A162" s="10">
        <v>0.66666666666667196</v>
      </c>
      <c r="B162" s="9" t="e">
        <f t="shared" si="9"/>
        <v>#N/A</v>
      </c>
      <c r="J162" s="9">
        <v>300</v>
      </c>
      <c r="K162" s="9">
        <v>140</v>
      </c>
      <c r="L162" s="9">
        <v>80</v>
      </c>
    </row>
    <row r="163" spans="1:12">
      <c r="A163" s="10">
        <v>0.67708333333333903</v>
      </c>
      <c r="B163" s="9" t="e">
        <f t="shared" si="9"/>
        <v>#N/A</v>
      </c>
      <c r="J163" s="9">
        <v>300</v>
      </c>
      <c r="K163" s="9">
        <v>140</v>
      </c>
      <c r="L163" s="9">
        <v>80</v>
      </c>
    </row>
    <row r="164" spans="1:12">
      <c r="A164" s="10">
        <v>0.687500000000006</v>
      </c>
      <c r="B164" s="9" t="e">
        <f t="shared" si="9"/>
        <v>#N/A</v>
      </c>
      <c r="J164" s="9">
        <v>300</v>
      </c>
      <c r="K164" s="9">
        <v>140</v>
      </c>
      <c r="L164" s="9">
        <v>80</v>
      </c>
    </row>
    <row r="165" spans="1:12">
      <c r="A165" s="10">
        <v>0.69791666666667296</v>
      </c>
      <c r="B165" s="9" t="e">
        <f t="shared" si="9"/>
        <v>#N/A</v>
      </c>
      <c r="J165" s="9">
        <v>300</v>
      </c>
      <c r="K165" s="9">
        <v>140</v>
      </c>
      <c r="L165" s="9">
        <v>80</v>
      </c>
    </row>
    <row r="166" spans="1:12">
      <c r="A166" s="10">
        <v>0.70833333333334003</v>
      </c>
      <c r="B166" s="9" t="e">
        <f t="shared" si="9"/>
        <v>#N/A</v>
      </c>
      <c r="J166" s="9">
        <v>300</v>
      </c>
      <c r="K166" s="9">
        <v>140</v>
      </c>
      <c r="L166" s="9">
        <v>80</v>
      </c>
    </row>
    <row r="167" spans="1:12">
      <c r="A167" s="10">
        <v>0.71875000000000699</v>
      </c>
      <c r="B167" s="9" t="e">
        <f t="shared" si="9"/>
        <v>#N/A</v>
      </c>
      <c r="J167" s="9">
        <v>300</v>
      </c>
      <c r="K167" s="9">
        <v>140</v>
      </c>
      <c r="L167" s="9">
        <v>80</v>
      </c>
    </row>
    <row r="168" spans="1:12">
      <c r="A168" s="10">
        <v>0.72916666666667396</v>
      </c>
      <c r="B168" s="9" t="e">
        <f t="shared" si="9"/>
        <v>#N/A</v>
      </c>
      <c r="J168" s="9">
        <v>300</v>
      </c>
      <c r="K168" s="9">
        <v>140</v>
      </c>
      <c r="L168" s="9">
        <v>80</v>
      </c>
    </row>
    <row r="169" spans="1:12">
      <c r="A169" s="10">
        <v>0.73958333333334103</v>
      </c>
      <c r="B169" s="9" t="e">
        <f t="shared" si="9"/>
        <v>#N/A</v>
      </c>
      <c r="J169" s="9">
        <v>300</v>
      </c>
      <c r="K169" s="9">
        <v>140</v>
      </c>
      <c r="L169" s="9">
        <v>80</v>
      </c>
    </row>
    <row r="170" spans="1:12">
      <c r="A170" s="10">
        <v>0.75000000000000799</v>
      </c>
      <c r="B170" s="9" t="e">
        <f t="shared" si="9"/>
        <v>#N/A</v>
      </c>
      <c r="J170" s="9">
        <v>300</v>
      </c>
      <c r="K170" s="9">
        <v>140</v>
      </c>
      <c r="L170" s="9">
        <v>80</v>
      </c>
    </row>
    <row r="171" spans="1:12">
      <c r="A171" s="10">
        <v>0.76041666666667596</v>
      </c>
      <c r="B171" s="9" t="e">
        <f t="shared" si="9"/>
        <v>#N/A</v>
      </c>
      <c r="J171" s="9">
        <v>300</v>
      </c>
      <c r="K171" s="9">
        <v>140</v>
      </c>
      <c r="L171" s="9">
        <v>80</v>
      </c>
    </row>
    <row r="172" spans="1:12">
      <c r="A172" s="10">
        <v>0.77083333333334303</v>
      </c>
      <c r="B172" s="9" t="e">
        <f t="shared" si="9"/>
        <v>#N/A</v>
      </c>
      <c r="J172" s="9">
        <v>300</v>
      </c>
      <c r="K172" s="9">
        <v>140</v>
      </c>
      <c r="L172" s="9">
        <v>80</v>
      </c>
    </row>
    <row r="173" spans="1:12">
      <c r="A173" s="10">
        <v>0.78125000000000999</v>
      </c>
      <c r="B173" s="9" t="e">
        <f t="shared" si="9"/>
        <v>#N/A</v>
      </c>
      <c r="J173" s="9">
        <v>300</v>
      </c>
      <c r="K173" s="9">
        <v>140</v>
      </c>
      <c r="L173" s="9">
        <v>80</v>
      </c>
    </row>
    <row r="174" spans="1:12">
      <c r="A174" s="10">
        <v>0.79166666666667695</v>
      </c>
      <c r="B174" s="9" t="e">
        <f t="shared" si="9"/>
        <v>#N/A</v>
      </c>
      <c r="J174" s="9">
        <v>300</v>
      </c>
      <c r="K174" s="9">
        <v>140</v>
      </c>
      <c r="L174" s="9">
        <v>80</v>
      </c>
    </row>
    <row r="175" spans="1:12">
      <c r="A175" s="10">
        <v>0.80208333333334403</v>
      </c>
      <c r="B175" s="9" t="e">
        <f t="shared" si="9"/>
        <v>#N/A</v>
      </c>
      <c r="J175" s="9">
        <v>300</v>
      </c>
      <c r="K175" s="9">
        <v>140</v>
      </c>
      <c r="L175" s="9">
        <v>80</v>
      </c>
    </row>
    <row r="176" spans="1:12">
      <c r="A176" s="10">
        <v>0.81250000000001099</v>
      </c>
      <c r="B176" s="9" t="e">
        <f t="shared" si="9"/>
        <v>#N/A</v>
      </c>
      <c r="J176" s="9">
        <v>300</v>
      </c>
      <c r="K176" s="9">
        <v>140</v>
      </c>
      <c r="L176" s="9">
        <v>80</v>
      </c>
    </row>
    <row r="177" spans="1:12">
      <c r="A177" s="10">
        <v>0.82291666666667795</v>
      </c>
      <c r="B177" s="9" t="e">
        <f t="shared" si="9"/>
        <v>#N/A</v>
      </c>
      <c r="J177" s="9">
        <v>300</v>
      </c>
      <c r="K177" s="9">
        <v>140</v>
      </c>
      <c r="L177" s="9">
        <v>80</v>
      </c>
    </row>
    <row r="178" spans="1:12">
      <c r="A178" s="10">
        <v>0.83333333333334503</v>
      </c>
      <c r="B178" s="9" t="e">
        <f t="shared" si="9"/>
        <v>#N/A</v>
      </c>
      <c r="J178" s="9">
        <v>300</v>
      </c>
      <c r="K178" s="9">
        <v>140</v>
      </c>
      <c r="L178" s="9">
        <v>80</v>
      </c>
    </row>
    <row r="179" spans="1:12">
      <c r="A179" s="10">
        <v>0.84375000000001199</v>
      </c>
      <c r="B179" s="9" t="e">
        <f t="shared" si="9"/>
        <v>#N/A</v>
      </c>
      <c r="J179" s="9">
        <v>300</v>
      </c>
      <c r="K179" s="9">
        <v>140</v>
      </c>
      <c r="L179" s="9">
        <v>80</v>
      </c>
    </row>
    <row r="180" spans="1:12">
      <c r="A180" s="10">
        <v>0.85416666666667895</v>
      </c>
      <c r="B180" s="9" t="e">
        <f t="shared" si="9"/>
        <v>#N/A</v>
      </c>
      <c r="J180" s="9">
        <v>300</v>
      </c>
      <c r="K180" s="9">
        <v>140</v>
      </c>
      <c r="L180" s="9">
        <v>80</v>
      </c>
    </row>
    <row r="181" spans="1:12">
      <c r="A181" s="10">
        <v>0.86458333333334603</v>
      </c>
      <c r="B181" s="9" t="e">
        <f t="shared" si="9"/>
        <v>#N/A</v>
      </c>
      <c r="J181" s="9">
        <v>300</v>
      </c>
      <c r="K181" s="9">
        <v>140</v>
      </c>
      <c r="L181" s="9">
        <v>80</v>
      </c>
    </row>
    <row r="182" spans="1:12">
      <c r="A182" s="10">
        <v>0.87500000000001299</v>
      </c>
      <c r="B182" s="9" t="e">
        <f t="shared" si="9"/>
        <v>#N/A</v>
      </c>
      <c r="J182" s="9">
        <v>300</v>
      </c>
      <c r="K182" s="9">
        <v>140</v>
      </c>
      <c r="L182" s="9">
        <v>80</v>
      </c>
    </row>
    <row r="183" spans="1:12">
      <c r="A183" s="10">
        <v>0.88541666666667995</v>
      </c>
      <c r="B183" s="9" t="e">
        <f t="shared" si="9"/>
        <v>#N/A</v>
      </c>
      <c r="J183" s="9">
        <v>300</v>
      </c>
      <c r="K183" s="9">
        <v>140</v>
      </c>
      <c r="L183" s="9">
        <v>80</v>
      </c>
    </row>
    <row r="184" spans="1:12">
      <c r="A184" s="10">
        <v>0.89583333333334803</v>
      </c>
      <c r="B184" s="9" t="e">
        <f t="shared" si="9"/>
        <v>#N/A</v>
      </c>
      <c r="J184" s="9">
        <v>300</v>
      </c>
      <c r="K184" s="9">
        <v>140</v>
      </c>
      <c r="L184" s="9">
        <v>80</v>
      </c>
    </row>
    <row r="185" spans="1:12">
      <c r="A185" s="10">
        <v>0.90625000000001499</v>
      </c>
      <c r="B185" s="9" t="e">
        <f t="shared" si="9"/>
        <v>#N/A</v>
      </c>
      <c r="J185" s="9">
        <v>300</v>
      </c>
      <c r="K185" s="9">
        <v>140</v>
      </c>
      <c r="L185" s="9">
        <v>80</v>
      </c>
    </row>
    <row r="186" spans="1:12">
      <c r="A186" s="10">
        <v>0.91666666666668195</v>
      </c>
      <c r="B186" s="9" t="e">
        <f t="shared" si="9"/>
        <v>#N/A</v>
      </c>
      <c r="J186" s="9">
        <v>300</v>
      </c>
      <c r="K186" s="9">
        <v>140</v>
      </c>
      <c r="L186" s="9">
        <v>80</v>
      </c>
    </row>
    <row r="187" spans="1:12">
      <c r="A187" s="10">
        <v>0.92708333333334902</v>
      </c>
      <c r="B187" s="9" t="e">
        <f t="shared" ref="B187:B217" si="10">B67</f>
        <v>#N/A</v>
      </c>
      <c r="J187" s="9">
        <v>300</v>
      </c>
      <c r="K187" s="9">
        <v>140</v>
      </c>
      <c r="L187" s="9">
        <v>80</v>
      </c>
    </row>
    <row r="188" spans="1:12">
      <c r="A188" s="10">
        <v>0.93750000000001599</v>
      </c>
      <c r="B188" s="9" t="e">
        <f t="shared" si="10"/>
        <v>#N/A</v>
      </c>
      <c r="J188" s="9">
        <v>300</v>
      </c>
      <c r="K188" s="9">
        <v>140</v>
      </c>
      <c r="L188" s="9">
        <v>80</v>
      </c>
    </row>
    <row r="189" spans="1:12">
      <c r="A189" s="10">
        <v>0.94791666666668295</v>
      </c>
      <c r="B189" s="9" t="e">
        <f t="shared" si="10"/>
        <v>#N/A</v>
      </c>
      <c r="J189" s="9">
        <v>300</v>
      </c>
      <c r="K189" s="9">
        <v>140</v>
      </c>
      <c r="L189" s="9">
        <v>80</v>
      </c>
    </row>
    <row r="190" spans="1:12">
      <c r="A190" s="10">
        <v>0.95833333333335002</v>
      </c>
      <c r="B190" s="9" t="e">
        <f t="shared" si="10"/>
        <v>#N/A</v>
      </c>
      <c r="J190" s="9">
        <v>300</v>
      </c>
      <c r="K190" s="9">
        <v>140</v>
      </c>
      <c r="L190" s="9">
        <v>80</v>
      </c>
    </row>
    <row r="191" spans="1:12">
      <c r="A191" s="10">
        <v>0.96875000000001699</v>
      </c>
      <c r="B191" s="9" t="e">
        <f t="shared" si="10"/>
        <v>#N/A</v>
      </c>
      <c r="J191" s="9">
        <v>300</v>
      </c>
      <c r="K191" s="9">
        <v>140</v>
      </c>
      <c r="L191" s="9">
        <v>80</v>
      </c>
    </row>
    <row r="192" spans="1:12">
      <c r="A192" s="10">
        <v>0.97916666666668395</v>
      </c>
      <c r="B192" s="9" t="e">
        <f t="shared" si="10"/>
        <v>#N/A</v>
      </c>
      <c r="J192" s="9">
        <v>300</v>
      </c>
      <c r="K192" s="9">
        <v>140</v>
      </c>
      <c r="L192" s="9">
        <v>80</v>
      </c>
    </row>
    <row r="193" spans="1:12">
      <c r="A193" s="10">
        <v>0.98958333333335102</v>
      </c>
      <c r="B193" s="9" t="e">
        <f t="shared" si="10"/>
        <v>#N/A</v>
      </c>
      <c r="J193" s="9">
        <v>300</v>
      </c>
      <c r="K193" s="9">
        <v>140</v>
      </c>
      <c r="L193" s="9">
        <v>80</v>
      </c>
    </row>
    <row r="194" spans="1:12">
      <c r="A194" s="10">
        <v>1.00000000000002</v>
      </c>
      <c r="B194" s="9" t="e">
        <f t="shared" si="10"/>
        <v>#N/A</v>
      </c>
      <c r="J194" s="9">
        <v>300</v>
      </c>
      <c r="K194" s="9">
        <v>140</v>
      </c>
      <c r="L194" s="9">
        <v>80</v>
      </c>
    </row>
    <row r="195" spans="1:12">
      <c r="A195" s="10">
        <v>1.0104166666666801</v>
      </c>
      <c r="B195" s="9" t="e">
        <f t="shared" si="10"/>
        <v>#N/A</v>
      </c>
      <c r="J195" s="9">
        <v>300</v>
      </c>
      <c r="K195" s="9">
        <v>140</v>
      </c>
      <c r="L195" s="9">
        <v>80</v>
      </c>
    </row>
    <row r="196" spans="1:12">
      <c r="A196" s="10">
        <v>1.0208333333333499</v>
      </c>
      <c r="B196" s="9" t="e">
        <f t="shared" si="10"/>
        <v>#N/A</v>
      </c>
      <c r="J196" s="9">
        <v>300</v>
      </c>
      <c r="K196" s="9">
        <v>140</v>
      </c>
      <c r="L196" s="9">
        <v>80</v>
      </c>
    </row>
    <row r="197" spans="1:12">
      <c r="A197" s="10">
        <v>1.03125000000002</v>
      </c>
      <c r="B197" s="9" t="e">
        <f t="shared" si="10"/>
        <v>#N/A</v>
      </c>
      <c r="J197" s="9">
        <v>300</v>
      </c>
      <c r="K197" s="9">
        <v>140</v>
      </c>
      <c r="L197" s="9">
        <v>80</v>
      </c>
    </row>
    <row r="198" spans="1:12">
      <c r="A198" s="10">
        <v>1.0416666666666901</v>
      </c>
      <c r="B198" s="9" t="e">
        <f t="shared" si="10"/>
        <v>#N/A</v>
      </c>
      <c r="J198" s="9">
        <v>300</v>
      </c>
      <c r="K198" s="9">
        <v>140</v>
      </c>
      <c r="L198" s="9">
        <v>80</v>
      </c>
    </row>
    <row r="199" spans="1:12">
      <c r="A199" s="10">
        <v>1.0520833333333499</v>
      </c>
      <c r="B199" s="9" t="e">
        <f t="shared" si="10"/>
        <v>#N/A</v>
      </c>
      <c r="J199" s="9">
        <v>300</v>
      </c>
      <c r="K199" s="9">
        <v>140</v>
      </c>
      <c r="L199" s="9">
        <v>80</v>
      </c>
    </row>
    <row r="200" spans="1:12">
      <c r="A200" s="10">
        <v>1.06250000000002</v>
      </c>
      <c r="B200" s="9" t="e">
        <f t="shared" si="10"/>
        <v>#N/A</v>
      </c>
      <c r="J200" s="9">
        <v>300</v>
      </c>
      <c r="K200" s="9">
        <v>140</v>
      </c>
      <c r="L200" s="9">
        <v>80</v>
      </c>
    </row>
    <row r="201" spans="1:12">
      <c r="A201" s="10">
        <v>1.0729166666666901</v>
      </c>
      <c r="B201" s="9" t="e">
        <f t="shared" si="10"/>
        <v>#N/A</v>
      </c>
      <c r="J201" s="9">
        <v>300</v>
      </c>
      <c r="K201" s="9">
        <v>140</v>
      </c>
      <c r="L201" s="9">
        <v>80</v>
      </c>
    </row>
    <row r="202" spans="1:12">
      <c r="A202" s="10">
        <v>1.0833333333333499</v>
      </c>
      <c r="B202" s="9" t="e">
        <f t="shared" si="10"/>
        <v>#N/A</v>
      </c>
      <c r="J202" s="9">
        <v>300</v>
      </c>
      <c r="K202" s="9">
        <v>140</v>
      </c>
      <c r="L202" s="9">
        <v>80</v>
      </c>
    </row>
    <row r="203" spans="1:12">
      <c r="A203" s="10">
        <v>1.09375000000002</v>
      </c>
      <c r="B203" s="9" t="e">
        <f t="shared" si="10"/>
        <v>#N/A</v>
      </c>
      <c r="J203" s="9">
        <v>300</v>
      </c>
      <c r="K203" s="9">
        <v>140</v>
      </c>
      <c r="L203" s="9">
        <v>80</v>
      </c>
    </row>
    <row r="204" spans="1:12">
      <c r="A204" s="10">
        <v>1.1041666666666901</v>
      </c>
      <c r="B204" s="9" t="e">
        <f t="shared" si="10"/>
        <v>#N/A</v>
      </c>
      <c r="J204" s="9">
        <v>300</v>
      </c>
      <c r="K204" s="9">
        <v>140</v>
      </c>
      <c r="L204" s="9">
        <v>80</v>
      </c>
    </row>
    <row r="205" spans="1:12">
      <c r="A205" s="10">
        <v>1.1145833333333599</v>
      </c>
      <c r="B205" s="9" t="e">
        <f t="shared" si="10"/>
        <v>#N/A</v>
      </c>
      <c r="J205" s="9">
        <v>300</v>
      </c>
      <c r="K205" s="9">
        <v>140</v>
      </c>
      <c r="L205" s="9">
        <v>80</v>
      </c>
    </row>
    <row r="206" spans="1:12">
      <c r="A206" s="10">
        <v>1.12500000000002</v>
      </c>
      <c r="B206" s="9" t="e">
        <f t="shared" si="10"/>
        <v>#N/A</v>
      </c>
      <c r="J206" s="9">
        <v>300</v>
      </c>
      <c r="K206" s="9">
        <v>140</v>
      </c>
      <c r="L206" s="9">
        <v>80</v>
      </c>
    </row>
    <row r="207" spans="1:12">
      <c r="A207" s="10">
        <v>1.1354166666666901</v>
      </c>
      <c r="B207" s="9" t="e">
        <f t="shared" si="10"/>
        <v>#N/A</v>
      </c>
      <c r="J207" s="9">
        <v>300</v>
      </c>
      <c r="K207" s="9">
        <v>140</v>
      </c>
      <c r="L207" s="9">
        <v>80</v>
      </c>
    </row>
    <row r="208" spans="1:12">
      <c r="A208" s="10">
        <v>1.1458333333333599</v>
      </c>
      <c r="B208" s="9" t="e">
        <f t="shared" si="10"/>
        <v>#N/A</v>
      </c>
      <c r="J208" s="9">
        <v>300</v>
      </c>
      <c r="K208" s="9">
        <v>140</v>
      </c>
      <c r="L208" s="9">
        <v>80</v>
      </c>
    </row>
    <row r="209" spans="1:12">
      <c r="A209" s="10">
        <v>1.15625000000002</v>
      </c>
      <c r="B209" s="9" t="e">
        <f t="shared" si="10"/>
        <v>#N/A</v>
      </c>
      <c r="J209" s="9">
        <v>300</v>
      </c>
      <c r="K209" s="9">
        <v>140</v>
      </c>
      <c r="L209" s="9">
        <v>80</v>
      </c>
    </row>
    <row r="210" spans="1:12">
      <c r="A210" s="10">
        <v>1.1666666666666901</v>
      </c>
      <c r="B210" s="9" t="e">
        <f t="shared" si="10"/>
        <v>#N/A</v>
      </c>
      <c r="J210" s="9">
        <v>300</v>
      </c>
      <c r="K210" s="9">
        <v>140</v>
      </c>
      <c r="L210" s="9">
        <v>80</v>
      </c>
    </row>
    <row r="211" spans="1:12">
      <c r="A211" s="10">
        <v>1.1770833333333599</v>
      </c>
      <c r="B211" s="9" t="e">
        <f t="shared" si="10"/>
        <v>#N/A</v>
      </c>
      <c r="J211" s="9">
        <v>300</v>
      </c>
      <c r="K211" s="9">
        <v>140</v>
      </c>
      <c r="L211" s="9">
        <v>80</v>
      </c>
    </row>
    <row r="212" spans="1:12">
      <c r="A212" s="10">
        <v>1.18750000000003</v>
      </c>
      <c r="B212" s="9" t="e">
        <f t="shared" si="10"/>
        <v>#N/A</v>
      </c>
      <c r="J212" s="9">
        <v>300</v>
      </c>
      <c r="K212" s="9">
        <v>140</v>
      </c>
      <c r="L212" s="9">
        <v>80</v>
      </c>
    </row>
    <row r="213" spans="1:12">
      <c r="A213" s="10">
        <v>1.1979166666666901</v>
      </c>
      <c r="B213" s="9" t="e">
        <f t="shared" si="10"/>
        <v>#N/A</v>
      </c>
      <c r="J213" s="9">
        <v>300</v>
      </c>
      <c r="K213" s="9">
        <v>140</v>
      </c>
      <c r="L213" s="9">
        <v>80</v>
      </c>
    </row>
    <row r="214" spans="1:12">
      <c r="A214" s="10">
        <v>1.2083333333333599</v>
      </c>
      <c r="B214" s="9" t="e">
        <f t="shared" si="10"/>
        <v>#N/A</v>
      </c>
      <c r="J214" s="9">
        <v>300</v>
      </c>
      <c r="K214" s="9">
        <v>140</v>
      </c>
      <c r="L214" s="9">
        <v>80</v>
      </c>
    </row>
    <row r="215" spans="1:12">
      <c r="A215" s="10">
        <v>1.21875000000003</v>
      </c>
      <c r="B215" s="9" t="e">
        <f t="shared" si="10"/>
        <v>#N/A</v>
      </c>
      <c r="J215" s="9">
        <v>300</v>
      </c>
      <c r="K215" s="9">
        <v>140</v>
      </c>
      <c r="L215" s="9">
        <v>80</v>
      </c>
    </row>
    <row r="216" spans="1:12">
      <c r="A216" s="10">
        <v>1.2291666666666901</v>
      </c>
      <c r="B216" s="9" t="e">
        <f t="shared" si="10"/>
        <v>#N/A</v>
      </c>
      <c r="J216" s="9">
        <v>300</v>
      </c>
      <c r="K216" s="9">
        <v>140</v>
      </c>
      <c r="L216" s="9">
        <v>80</v>
      </c>
    </row>
    <row r="217" spans="1:12">
      <c r="A217" s="10">
        <v>1.2395833333333599</v>
      </c>
      <c r="B217" s="9" t="e">
        <f t="shared" si="10"/>
        <v>#N/A</v>
      </c>
      <c r="J217" s="9">
        <v>300</v>
      </c>
      <c r="K217" s="9">
        <v>140</v>
      </c>
      <c r="L217" s="9">
        <v>80</v>
      </c>
    </row>
    <row r="218" spans="1:12">
      <c r="A218" s="10">
        <v>0.25</v>
      </c>
      <c r="B218" s="9" t="e">
        <f>C2</f>
        <v>#N/A</v>
      </c>
      <c r="J218" s="9">
        <v>300</v>
      </c>
      <c r="K218" s="9">
        <v>140</v>
      </c>
      <c r="L218" s="9">
        <v>80</v>
      </c>
    </row>
    <row r="219" spans="1:12">
      <c r="A219" s="10">
        <v>0.26041666666666669</v>
      </c>
      <c r="B219" s="9" t="e">
        <f t="shared" ref="B219:B282" si="11">C3</f>
        <v>#N/A</v>
      </c>
      <c r="J219" s="9">
        <v>300</v>
      </c>
      <c r="K219" s="9">
        <v>140</v>
      </c>
      <c r="L219" s="9">
        <v>80</v>
      </c>
    </row>
    <row r="220" spans="1:12">
      <c r="A220" s="10">
        <v>0.27083333333333331</v>
      </c>
      <c r="B220" s="9" t="e">
        <f t="shared" si="11"/>
        <v>#N/A</v>
      </c>
      <c r="J220" s="9">
        <v>300</v>
      </c>
      <c r="K220" s="9">
        <v>140</v>
      </c>
      <c r="L220" s="9">
        <v>80</v>
      </c>
    </row>
    <row r="221" spans="1:12">
      <c r="A221" s="10">
        <v>0.28125</v>
      </c>
      <c r="B221" s="9" t="e">
        <f t="shared" si="11"/>
        <v>#N/A</v>
      </c>
      <c r="J221" s="9">
        <v>300</v>
      </c>
      <c r="K221" s="9">
        <v>140</v>
      </c>
      <c r="L221" s="9">
        <v>80</v>
      </c>
    </row>
    <row r="222" spans="1:12">
      <c r="A222" s="10">
        <v>0.29166666666666702</v>
      </c>
      <c r="B222" s="9" t="e">
        <f t="shared" si="11"/>
        <v>#N/A</v>
      </c>
      <c r="J222" s="9">
        <v>300</v>
      </c>
      <c r="K222" s="9">
        <v>140</v>
      </c>
      <c r="L222" s="9">
        <v>80</v>
      </c>
    </row>
    <row r="223" spans="1:12">
      <c r="A223" s="10">
        <v>0.30208333333333298</v>
      </c>
      <c r="B223" s="9" t="e">
        <f t="shared" si="11"/>
        <v>#N/A</v>
      </c>
      <c r="J223" s="9">
        <v>300</v>
      </c>
      <c r="K223" s="9">
        <v>140</v>
      </c>
      <c r="L223" s="9">
        <v>80</v>
      </c>
    </row>
    <row r="224" spans="1:12">
      <c r="A224" s="10">
        <v>0.3125</v>
      </c>
      <c r="B224" s="9" t="e">
        <f t="shared" si="11"/>
        <v>#N/A</v>
      </c>
      <c r="J224" s="9">
        <v>300</v>
      </c>
      <c r="K224" s="9">
        <v>140</v>
      </c>
      <c r="L224" s="9">
        <v>80</v>
      </c>
    </row>
    <row r="225" spans="1:12">
      <c r="A225" s="10">
        <v>0.32291666666666702</v>
      </c>
      <c r="B225" s="9" t="e">
        <f t="shared" si="11"/>
        <v>#N/A</v>
      </c>
      <c r="J225" s="9">
        <v>300</v>
      </c>
      <c r="K225" s="9">
        <v>140</v>
      </c>
      <c r="L225" s="9">
        <v>80</v>
      </c>
    </row>
    <row r="226" spans="1:12">
      <c r="A226" s="10">
        <v>0.33333333333333298</v>
      </c>
      <c r="B226" s="9" t="e">
        <f t="shared" si="11"/>
        <v>#N/A</v>
      </c>
      <c r="J226" s="9">
        <v>300</v>
      </c>
      <c r="K226" s="9">
        <v>140</v>
      </c>
      <c r="L226" s="9">
        <v>80</v>
      </c>
    </row>
    <row r="227" spans="1:12">
      <c r="A227" s="10">
        <v>0.34375</v>
      </c>
      <c r="B227" s="9" t="e">
        <f t="shared" si="11"/>
        <v>#N/A</v>
      </c>
      <c r="J227" s="9">
        <v>300</v>
      </c>
      <c r="K227" s="9">
        <v>140</v>
      </c>
      <c r="L227" s="9">
        <v>80</v>
      </c>
    </row>
    <row r="228" spans="1:12">
      <c r="A228" s="10">
        <v>0.35416666666666702</v>
      </c>
      <c r="B228" s="9" t="e">
        <f t="shared" si="11"/>
        <v>#N/A</v>
      </c>
      <c r="J228" s="9">
        <v>300</v>
      </c>
      <c r="K228" s="9">
        <v>140</v>
      </c>
      <c r="L228" s="9">
        <v>80</v>
      </c>
    </row>
    <row r="229" spans="1:12">
      <c r="A229" s="10">
        <v>0.36458333333333398</v>
      </c>
      <c r="B229" s="9" t="e">
        <f t="shared" si="11"/>
        <v>#N/A</v>
      </c>
      <c r="J229" s="9">
        <v>300</v>
      </c>
      <c r="K229" s="9">
        <v>140</v>
      </c>
      <c r="L229" s="9">
        <v>80</v>
      </c>
    </row>
    <row r="230" spans="1:12">
      <c r="A230" s="10">
        <v>0.375</v>
      </c>
      <c r="B230" s="9" t="e">
        <f t="shared" si="11"/>
        <v>#N/A</v>
      </c>
      <c r="J230" s="9">
        <v>300</v>
      </c>
      <c r="K230" s="9">
        <v>140</v>
      </c>
      <c r="L230" s="9">
        <v>80</v>
      </c>
    </row>
    <row r="231" spans="1:12">
      <c r="A231" s="10">
        <v>0.38541666666666702</v>
      </c>
      <c r="B231" s="9" t="e">
        <f t="shared" si="11"/>
        <v>#N/A</v>
      </c>
      <c r="J231" s="9">
        <v>300</v>
      </c>
      <c r="K231" s="9">
        <v>140</v>
      </c>
      <c r="L231" s="9">
        <v>80</v>
      </c>
    </row>
    <row r="232" spans="1:12">
      <c r="A232" s="10">
        <v>0.39583333333333398</v>
      </c>
      <c r="B232" s="9" t="e">
        <f t="shared" si="11"/>
        <v>#N/A</v>
      </c>
      <c r="J232" s="9">
        <v>300</v>
      </c>
      <c r="K232" s="9">
        <v>140</v>
      </c>
      <c r="L232" s="9">
        <v>80</v>
      </c>
    </row>
    <row r="233" spans="1:12">
      <c r="A233" s="10">
        <v>0.40625</v>
      </c>
      <c r="B233" s="9" t="e">
        <f t="shared" si="11"/>
        <v>#N/A</v>
      </c>
      <c r="J233" s="9">
        <v>300</v>
      </c>
      <c r="K233" s="9">
        <v>140</v>
      </c>
      <c r="L233" s="9">
        <v>80</v>
      </c>
    </row>
    <row r="234" spans="1:12">
      <c r="A234" s="10">
        <v>0.41666666666666702</v>
      </c>
      <c r="B234" s="9" t="e">
        <f t="shared" si="11"/>
        <v>#N/A</v>
      </c>
      <c r="J234" s="9">
        <v>300</v>
      </c>
      <c r="K234" s="9">
        <v>140</v>
      </c>
      <c r="L234" s="9">
        <v>80</v>
      </c>
    </row>
    <row r="235" spans="1:12">
      <c r="A235" s="10">
        <v>0.42708333333333398</v>
      </c>
      <c r="B235" s="9" t="e">
        <f t="shared" si="11"/>
        <v>#N/A</v>
      </c>
      <c r="J235" s="9">
        <v>300</v>
      </c>
      <c r="K235" s="9">
        <v>140</v>
      </c>
      <c r="L235" s="9">
        <v>80</v>
      </c>
    </row>
    <row r="236" spans="1:12">
      <c r="A236" s="10">
        <v>0.4375</v>
      </c>
      <c r="B236" s="9" t="e">
        <f t="shared" si="11"/>
        <v>#N/A</v>
      </c>
      <c r="J236" s="9">
        <v>300</v>
      </c>
      <c r="K236" s="9">
        <v>140</v>
      </c>
      <c r="L236" s="9">
        <v>80</v>
      </c>
    </row>
    <row r="237" spans="1:12">
      <c r="A237" s="10">
        <v>0.44791666666666702</v>
      </c>
      <c r="B237" s="9" t="e">
        <f t="shared" si="11"/>
        <v>#N/A</v>
      </c>
      <c r="J237" s="9">
        <v>300</v>
      </c>
      <c r="K237" s="9">
        <v>140</v>
      </c>
      <c r="L237" s="9">
        <v>80</v>
      </c>
    </row>
    <row r="238" spans="1:12">
      <c r="A238" s="10">
        <v>0.45833333333333398</v>
      </c>
      <c r="B238" s="9" t="e">
        <f t="shared" si="11"/>
        <v>#N/A</v>
      </c>
      <c r="J238" s="9">
        <v>300</v>
      </c>
      <c r="K238" s="9">
        <v>140</v>
      </c>
      <c r="L238" s="9">
        <v>80</v>
      </c>
    </row>
    <row r="239" spans="1:12">
      <c r="A239" s="10">
        <v>0.46875</v>
      </c>
      <c r="B239" s="9" t="e">
        <f t="shared" si="11"/>
        <v>#N/A</v>
      </c>
      <c r="J239" s="9">
        <v>300</v>
      </c>
      <c r="K239" s="9">
        <v>140</v>
      </c>
      <c r="L239" s="9">
        <v>80</v>
      </c>
    </row>
    <row r="240" spans="1:12">
      <c r="A240" s="10">
        <v>0.47916666666666702</v>
      </c>
      <c r="B240" s="9" t="e">
        <f t="shared" si="11"/>
        <v>#N/A</v>
      </c>
      <c r="J240" s="9">
        <v>300</v>
      </c>
      <c r="K240" s="9">
        <v>140</v>
      </c>
      <c r="L240" s="9">
        <v>80</v>
      </c>
    </row>
    <row r="241" spans="1:12">
      <c r="A241" s="10">
        <v>0.48958333333333398</v>
      </c>
      <c r="B241" s="9" t="e">
        <f t="shared" si="11"/>
        <v>#N/A</v>
      </c>
      <c r="J241" s="9">
        <v>300</v>
      </c>
      <c r="K241" s="9">
        <v>140</v>
      </c>
      <c r="L241" s="9">
        <v>80</v>
      </c>
    </row>
    <row r="242" spans="1:12">
      <c r="A242" s="10">
        <v>0.5</v>
      </c>
      <c r="B242" s="9" t="e">
        <f t="shared" si="11"/>
        <v>#N/A</v>
      </c>
      <c r="J242" s="9">
        <v>300</v>
      </c>
      <c r="K242" s="9">
        <v>140</v>
      </c>
      <c r="L242" s="9">
        <v>80</v>
      </c>
    </row>
    <row r="243" spans="1:12">
      <c r="A243" s="10">
        <v>0.51041666666666696</v>
      </c>
      <c r="B243" s="9" t="e">
        <f t="shared" si="11"/>
        <v>#N/A</v>
      </c>
      <c r="J243" s="9">
        <v>300</v>
      </c>
      <c r="K243" s="9">
        <v>140</v>
      </c>
      <c r="L243" s="9">
        <v>80</v>
      </c>
    </row>
    <row r="244" spans="1:12">
      <c r="A244" s="10">
        <v>0.52083333333333404</v>
      </c>
      <c r="B244" s="9" t="e">
        <f t="shared" si="11"/>
        <v>#N/A</v>
      </c>
      <c r="J244" s="9">
        <v>300</v>
      </c>
      <c r="K244" s="9">
        <v>140</v>
      </c>
      <c r="L244" s="9">
        <v>80</v>
      </c>
    </row>
    <row r="245" spans="1:12">
      <c r="A245" s="10">
        <v>0.53125</v>
      </c>
      <c r="B245" s="9" t="e">
        <f t="shared" si="11"/>
        <v>#N/A</v>
      </c>
      <c r="J245" s="9">
        <v>300</v>
      </c>
      <c r="K245" s="9">
        <v>140</v>
      </c>
      <c r="L245" s="9">
        <v>80</v>
      </c>
    </row>
    <row r="246" spans="1:12">
      <c r="A246" s="10">
        <v>0.54166666666666696</v>
      </c>
      <c r="B246" s="9" t="e">
        <f t="shared" si="11"/>
        <v>#N/A</v>
      </c>
      <c r="J246" s="9">
        <v>300</v>
      </c>
      <c r="K246" s="9">
        <v>140</v>
      </c>
      <c r="L246" s="9">
        <v>80</v>
      </c>
    </row>
    <row r="247" spans="1:12">
      <c r="A247" s="10">
        <v>0.55208333333333404</v>
      </c>
      <c r="B247" s="9" t="e">
        <f t="shared" si="11"/>
        <v>#N/A</v>
      </c>
      <c r="J247" s="9">
        <v>300</v>
      </c>
      <c r="K247" s="9">
        <v>140</v>
      </c>
      <c r="L247" s="9">
        <v>80</v>
      </c>
    </row>
    <row r="248" spans="1:12">
      <c r="A248" s="10">
        <v>0.562500000000001</v>
      </c>
      <c r="B248" s="9" t="e">
        <f t="shared" si="11"/>
        <v>#N/A</v>
      </c>
      <c r="J248" s="9">
        <v>300</v>
      </c>
      <c r="K248" s="9">
        <v>140</v>
      </c>
      <c r="L248" s="9">
        <v>80</v>
      </c>
    </row>
    <row r="249" spans="1:12">
      <c r="A249" s="10">
        <v>0.57291666666666696</v>
      </c>
      <c r="B249" s="9" t="e">
        <f t="shared" si="11"/>
        <v>#N/A</v>
      </c>
      <c r="J249" s="9">
        <v>300</v>
      </c>
      <c r="K249" s="9">
        <v>140</v>
      </c>
      <c r="L249" s="9">
        <v>80</v>
      </c>
    </row>
    <row r="250" spans="1:12">
      <c r="A250" s="10">
        <v>0.58333333333333504</v>
      </c>
      <c r="B250" s="9" t="e">
        <f t="shared" si="11"/>
        <v>#N/A</v>
      </c>
      <c r="J250" s="9">
        <v>300</v>
      </c>
      <c r="K250" s="9">
        <v>140</v>
      </c>
      <c r="L250" s="9">
        <v>80</v>
      </c>
    </row>
    <row r="251" spans="1:12">
      <c r="A251" s="10">
        <v>0.593750000000002</v>
      </c>
      <c r="B251" s="9" t="e">
        <f t="shared" si="11"/>
        <v>#N/A</v>
      </c>
      <c r="J251" s="9">
        <v>300</v>
      </c>
      <c r="K251" s="9">
        <v>140</v>
      </c>
      <c r="L251" s="9">
        <v>80</v>
      </c>
    </row>
    <row r="252" spans="1:12">
      <c r="A252" s="10">
        <v>0.60416666666666896</v>
      </c>
      <c r="B252" s="9" t="e">
        <f t="shared" si="11"/>
        <v>#N/A</v>
      </c>
      <c r="J252" s="9">
        <v>300</v>
      </c>
      <c r="K252" s="9">
        <v>140</v>
      </c>
      <c r="L252" s="9">
        <v>80</v>
      </c>
    </row>
    <row r="253" spans="1:12">
      <c r="A253" s="10">
        <v>0.61458333333333603</v>
      </c>
      <c r="B253" s="9" t="e">
        <f t="shared" si="11"/>
        <v>#N/A</v>
      </c>
      <c r="J253" s="9">
        <v>300</v>
      </c>
      <c r="K253" s="9">
        <v>140</v>
      </c>
      <c r="L253" s="9">
        <v>80</v>
      </c>
    </row>
    <row r="254" spans="1:12">
      <c r="A254" s="10">
        <v>0.625000000000004</v>
      </c>
      <c r="B254" s="9" t="e">
        <f t="shared" si="11"/>
        <v>#N/A</v>
      </c>
      <c r="J254" s="9">
        <v>300</v>
      </c>
      <c r="K254" s="9">
        <v>140</v>
      </c>
      <c r="L254" s="9">
        <v>80</v>
      </c>
    </row>
    <row r="255" spans="1:12">
      <c r="A255" s="10">
        <v>0.63541666666667096</v>
      </c>
      <c r="B255" s="9" t="e">
        <f t="shared" si="11"/>
        <v>#N/A</v>
      </c>
      <c r="J255" s="9">
        <v>300</v>
      </c>
      <c r="K255" s="9">
        <v>140</v>
      </c>
      <c r="L255" s="9">
        <v>80</v>
      </c>
    </row>
    <row r="256" spans="1:12">
      <c r="A256" s="10">
        <v>0.64583333333333803</v>
      </c>
      <c r="B256" s="9" t="e">
        <f t="shared" si="11"/>
        <v>#N/A</v>
      </c>
      <c r="J256" s="9">
        <v>300</v>
      </c>
      <c r="K256" s="9">
        <v>140</v>
      </c>
      <c r="L256" s="9">
        <v>80</v>
      </c>
    </row>
    <row r="257" spans="1:12">
      <c r="A257" s="10">
        <v>0.656250000000005</v>
      </c>
      <c r="B257" s="9" t="e">
        <f t="shared" si="11"/>
        <v>#N/A</v>
      </c>
      <c r="J257" s="9">
        <v>300</v>
      </c>
      <c r="K257" s="9">
        <v>140</v>
      </c>
      <c r="L257" s="9">
        <v>80</v>
      </c>
    </row>
    <row r="258" spans="1:12">
      <c r="A258" s="10">
        <v>0.66666666666667196</v>
      </c>
      <c r="B258" s="9" t="e">
        <f t="shared" si="11"/>
        <v>#N/A</v>
      </c>
      <c r="J258" s="9">
        <v>300</v>
      </c>
      <c r="K258" s="9">
        <v>140</v>
      </c>
      <c r="L258" s="9">
        <v>80</v>
      </c>
    </row>
    <row r="259" spans="1:12">
      <c r="A259" s="10">
        <v>0.67708333333333903</v>
      </c>
      <c r="B259" s="9" t="e">
        <f t="shared" si="11"/>
        <v>#N/A</v>
      </c>
      <c r="J259" s="9">
        <v>300</v>
      </c>
      <c r="K259" s="9">
        <v>140</v>
      </c>
      <c r="L259" s="9">
        <v>80</v>
      </c>
    </row>
    <row r="260" spans="1:12">
      <c r="A260" s="10">
        <v>0.687500000000006</v>
      </c>
      <c r="B260" s="9" t="e">
        <f t="shared" si="11"/>
        <v>#N/A</v>
      </c>
      <c r="J260" s="9">
        <v>300</v>
      </c>
      <c r="K260" s="9">
        <v>140</v>
      </c>
      <c r="L260" s="9">
        <v>80</v>
      </c>
    </row>
    <row r="261" spans="1:12">
      <c r="A261" s="10">
        <v>0.69791666666667296</v>
      </c>
      <c r="B261" s="9" t="e">
        <f t="shared" si="11"/>
        <v>#N/A</v>
      </c>
      <c r="J261" s="9">
        <v>300</v>
      </c>
      <c r="K261" s="9">
        <v>140</v>
      </c>
      <c r="L261" s="9">
        <v>80</v>
      </c>
    </row>
    <row r="262" spans="1:12">
      <c r="A262" s="10">
        <v>0.70833333333334003</v>
      </c>
      <c r="B262" s="9" t="e">
        <f t="shared" si="11"/>
        <v>#N/A</v>
      </c>
      <c r="J262" s="9">
        <v>300</v>
      </c>
      <c r="K262" s="9">
        <v>140</v>
      </c>
      <c r="L262" s="9">
        <v>80</v>
      </c>
    </row>
    <row r="263" spans="1:12">
      <c r="A263" s="10">
        <v>0.71875000000000699</v>
      </c>
      <c r="B263" s="9" t="e">
        <f t="shared" si="11"/>
        <v>#N/A</v>
      </c>
      <c r="J263" s="9">
        <v>300</v>
      </c>
      <c r="K263" s="9">
        <v>140</v>
      </c>
      <c r="L263" s="9">
        <v>80</v>
      </c>
    </row>
    <row r="264" spans="1:12">
      <c r="A264" s="10">
        <v>0.72916666666667396</v>
      </c>
      <c r="B264" s="9" t="e">
        <f t="shared" si="11"/>
        <v>#N/A</v>
      </c>
      <c r="J264" s="9">
        <v>300</v>
      </c>
      <c r="K264" s="9">
        <v>140</v>
      </c>
      <c r="L264" s="9">
        <v>80</v>
      </c>
    </row>
    <row r="265" spans="1:12">
      <c r="A265" s="10">
        <v>0.73958333333334103</v>
      </c>
      <c r="B265" s="9" t="e">
        <f t="shared" si="11"/>
        <v>#N/A</v>
      </c>
      <c r="J265" s="9">
        <v>300</v>
      </c>
      <c r="K265" s="9">
        <v>140</v>
      </c>
      <c r="L265" s="9">
        <v>80</v>
      </c>
    </row>
    <row r="266" spans="1:12">
      <c r="A266" s="10">
        <v>0.75000000000000799</v>
      </c>
      <c r="B266" s="9" t="e">
        <f t="shared" si="11"/>
        <v>#N/A</v>
      </c>
      <c r="J266" s="9">
        <v>300</v>
      </c>
      <c r="K266" s="9">
        <v>140</v>
      </c>
      <c r="L266" s="9">
        <v>80</v>
      </c>
    </row>
    <row r="267" spans="1:12">
      <c r="A267" s="10">
        <v>0.76041666666667596</v>
      </c>
      <c r="B267" s="9" t="e">
        <f t="shared" si="11"/>
        <v>#N/A</v>
      </c>
      <c r="J267" s="9">
        <v>300</v>
      </c>
      <c r="K267" s="9">
        <v>140</v>
      </c>
      <c r="L267" s="9">
        <v>80</v>
      </c>
    </row>
    <row r="268" spans="1:12">
      <c r="A268" s="10">
        <v>0.77083333333334303</v>
      </c>
      <c r="B268" s="9" t="e">
        <f t="shared" si="11"/>
        <v>#N/A</v>
      </c>
      <c r="J268" s="9">
        <v>300</v>
      </c>
      <c r="K268" s="9">
        <v>140</v>
      </c>
      <c r="L268" s="9">
        <v>80</v>
      </c>
    </row>
    <row r="269" spans="1:12">
      <c r="A269" s="10">
        <v>0.78125000000000999</v>
      </c>
      <c r="B269" s="9" t="e">
        <f t="shared" si="11"/>
        <v>#N/A</v>
      </c>
      <c r="J269" s="9">
        <v>300</v>
      </c>
      <c r="K269" s="9">
        <v>140</v>
      </c>
      <c r="L269" s="9">
        <v>80</v>
      </c>
    </row>
    <row r="270" spans="1:12">
      <c r="A270" s="10">
        <v>0.79166666666667695</v>
      </c>
      <c r="B270" s="9" t="e">
        <f t="shared" si="11"/>
        <v>#N/A</v>
      </c>
      <c r="J270" s="9">
        <v>300</v>
      </c>
      <c r="K270" s="9">
        <v>140</v>
      </c>
      <c r="L270" s="9">
        <v>80</v>
      </c>
    </row>
    <row r="271" spans="1:12">
      <c r="A271" s="10">
        <v>0.80208333333334403</v>
      </c>
      <c r="B271" s="9" t="e">
        <f t="shared" si="11"/>
        <v>#N/A</v>
      </c>
      <c r="J271" s="9">
        <v>300</v>
      </c>
      <c r="K271" s="9">
        <v>140</v>
      </c>
      <c r="L271" s="9">
        <v>80</v>
      </c>
    </row>
    <row r="272" spans="1:12">
      <c r="A272" s="10">
        <v>0.81250000000001099</v>
      </c>
      <c r="B272" s="9" t="e">
        <f t="shared" si="11"/>
        <v>#N/A</v>
      </c>
      <c r="J272" s="9">
        <v>300</v>
      </c>
      <c r="K272" s="9">
        <v>140</v>
      </c>
      <c r="L272" s="9">
        <v>80</v>
      </c>
    </row>
    <row r="273" spans="1:12">
      <c r="A273" s="10">
        <v>0.82291666666667795</v>
      </c>
      <c r="B273" s="9" t="e">
        <f t="shared" si="11"/>
        <v>#N/A</v>
      </c>
      <c r="J273" s="9">
        <v>300</v>
      </c>
      <c r="K273" s="9">
        <v>140</v>
      </c>
      <c r="L273" s="9">
        <v>80</v>
      </c>
    </row>
    <row r="274" spans="1:12">
      <c r="A274" s="10">
        <v>0.83333333333334503</v>
      </c>
      <c r="B274" s="9" t="e">
        <f t="shared" si="11"/>
        <v>#N/A</v>
      </c>
      <c r="J274" s="9">
        <v>300</v>
      </c>
      <c r="K274" s="9">
        <v>140</v>
      </c>
      <c r="L274" s="9">
        <v>80</v>
      </c>
    </row>
    <row r="275" spans="1:12">
      <c r="A275" s="10">
        <v>0.84375000000001199</v>
      </c>
      <c r="B275" s="9" t="e">
        <f t="shared" si="11"/>
        <v>#N/A</v>
      </c>
      <c r="J275" s="9">
        <v>300</v>
      </c>
      <c r="K275" s="9">
        <v>140</v>
      </c>
      <c r="L275" s="9">
        <v>80</v>
      </c>
    </row>
    <row r="276" spans="1:12">
      <c r="A276" s="10">
        <v>0.85416666666667895</v>
      </c>
      <c r="B276" s="9" t="e">
        <f t="shared" si="11"/>
        <v>#N/A</v>
      </c>
      <c r="J276" s="9">
        <v>300</v>
      </c>
      <c r="K276" s="9">
        <v>140</v>
      </c>
      <c r="L276" s="9">
        <v>80</v>
      </c>
    </row>
    <row r="277" spans="1:12">
      <c r="A277" s="10">
        <v>0.86458333333334603</v>
      </c>
      <c r="B277" s="9" t="e">
        <f t="shared" si="11"/>
        <v>#N/A</v>
      </c>
      <c r="J277" s="9">
        <v>300</v>
      </c>
      <c r="K277" s="9">
        <v>140</v>
      </c>
      <c r="L277" s="9">
        <v>80</v>
      </c>
    </row>
    <row r="278" spans="1:12">
      <c r="A278" s="10">
        <v>0.87500000000001299</v>
      </c>
      <c r="B278" s="9" t="e">
        <f t="shared" si="11"/>
        <v>#N/A</v>
      </c>
      <c r="J278" s="9">
        <v>300</v>
      </c>
      <c r="K278" s="9">
        <v>140</v>
      </c>
      <c r="L278" s="9">
        <v>80</v>
      </c>
    </row>
    <row r="279" spans="1:12">
      <c r="A279" s="10">
        <v>0.88541666666667995</v>
      </c>
      <c r="B279" s="9" t="e">
        <f t="shared" si="11"/>
        <v>#N/A</v>
      </c>
      <c r="J279" s="9">
        <v>300</v>
      </c>
      <c r="K279" s="9">
        <v>140</v>
      </c>
      <c r="L279" s="9">
        <v>80</v>
      </c>
    </row>
    <row r="280" spans="1:12">
      <c r="A280" s="10">
        <v>0.89583333333334803</v>
      </c>
      <c r="B280" s="9" t="e">
        <f t="shared" si="11"/>
        <v>#N/A</v>
      </c>
      <c r="J280" s="9">
        <v>300</v>
      </c>
      <c r="K280" s="9">
        <v>140</v>
      </c>
      <c r="L280" s="9">
        <v>80</v>
      </c>
    </row>
    <row r="281" spans="1:12">
      <c r="A281" s="10">
        <v>0.90625000000001499</v>
      </c>
      <c r="B281" s="9" t="e">
        <f t="shared" si="11"/>
        <v>#N/A</v>
      </c>
      <c r="J281" s="9">
        <v>300</v>
      </c>
      <c r="K281" s="9">
        <v>140</v>
      </c>
      <c r="L281" s="9">
        <v>80</v>
      </c>
    </row>
    <row r="282" spans="1:12">
      <c r="A282" s="10">
        <v>0.91666666666668195</v>
      </c>
      <c r="B282" s="9" t="e">
        <f t="shared" si="11"/>
        <v>#N/A</v>
      </c>
      <c r="J282" s="9">
        <v>300</v>
      </c>
      <c r="K282" s="9">
        <v>140</v>
      </c>
      <c r="L282" s="9">
        <v>80</v>
      </c>
    </row>
    <row r="283" spans="1:12">
      <c r="A283" s="10">
        <v>0.92708333333334902</v>
      </c>
      <c r="B283" s="9" t="e">
        <f t="shared" ref="B283:B313" si="12">C67</f>
        <v>#N/A</v>
      </c>
      <c r="J283" s="9">
        <v>300</v>
      </c>
      <c r="K283" s="9">
        <v>140</v>
      </c>
      <c r="L283" s="9">
        <v>80</v>
      </c>
    </row>
    <row r="284" spans="1:12">
      <c r="A284" s="10">
        <v>0.93750000000001599</v>
      </c>
      <c r="B284" s="9" t="e">
        <f t="shared" si="12"/>
        <v>#N/A</v>
      </c>
      <c r="J284" s="9">
        <v>300</v>
      </c>
      <c r="K284" s="9">
        <v>140</v>
      </c>
      <c r="L284" s="9">
        <v>80</v>
      </c>
    </row>
    <row r="285" spans="1:12">
      <c r="A285" s="10">
        <v>0.94791666666668295</v>
      </c>
      <c r="B285" s="9" t="e">
        <f t="shared" si="12"/>
        <v>#N/A</v>
      </c>
      <c r="J285" s="9">
        <v>300</v>
      </c>
      <c r="K285" s="9">
        <v>140</v>
      </c>
      <c r="L285" s="9">
        <v>80</v>
      </c>
    </row>
    <row r="286" spans="1:12">
      <c r="A286" s="10">
        <v>0.95833333333335002</v>
      </c>
      <c r="B286" s="9" t="e">
        <f t="shared" si="12"/>
        <v>#N/A</v>
      </c>
      <c r="J286" s="9">
        <v>300</v>
      </c>
      <c r="K286" s="9">
        <v>140</v>
      </c>
      <c r="L286" s="9">
        <v>80</v>
      </c>
    </row>
    <row r="287" spans="1:12">
      <c r="A287" s="10">
        <v>0.96875000000001699</v>
      </c>
      <c r="B287" s="9" t="e">
        <f t="shared" si="12"/>
        <v>#N/A</v>
      </c>
      <c r="J287" s="9">
        <v>300</v>
      </c>
      <c r="K287" s="9">
        <v>140</v>
      </c>
      <c r="L287" s="9">
        <v>80</v>
      </c>
    </row>
    <row r="288" spans="1:12">
      <c r="A288" s="10">
        <v>0.97916666666668395</v>
      </c>
      <c r="B288" s="9" t="e">
        <f t="shared" si="12"/>
        <v>#N/A</v>
      </c>
      <c r="J288" s="9">
        <v>300</v>
      </c>
      <c r="K288" s="9">
        <v>140</v>
      </c>
      <c r="L288" s="9">
        <v>80</v>
      </c>
    </row>
    <row r="289" spans="1:12">
      <c r="A289" s="10">
        <v>0.98958333333335102</v>
      </c>
      <c r="B289" s="9" t="e">
        <f t="shared" si="12"/>
        <v>#N/A</v>
      </c>
      <c r="J289" s="9">
        <v>300</v>
      </c>
      <c r="K289" s="9">
        <v>140</v>
      </c>
      <c r="L289" s="9">
        <v>80</v>
      </c>
    </row>
    <row r="290" spans="1:12">
      <c r="A290" s="10">
        <v>1.00000000000002</v>
      </c>
      <c r="B290" s="9" t="e">
        <f t="shared" si="12"/>
        <v>#N/A</v>
      </c>
      <c r="J290" s="9">
        <v>300</v>
      </c>
      <c r="K290" s="9">
        <v>140</v>
      </c>
      <c r="L290" s="9">
        <v>80</v>
      </c>
    </row>
    <row r="291" spans="1:12">
      <c r="A291" s="10">
        <v>1.0104166666666801</v>
      </c>
      <c r="B291" s="9" t="e">
        <f t="shared" si="12"/>
        <v>#N/A</v>
      </c>
      <c r="J291" s="9">
        <v>300</v>
      </c>
      <c r="K291" s="9">
        <v>140</v>
      </c>
      <c r="L291" s="9">
        <v>80</v>
      </c>
    </row>
    <row r="292" spans="1:12">
      <c r="A292" s="10">
        <v>1.0208333333333499</v>
      </c>
      <c r="B292" s="9" t="e">
        <f t="shared" si="12"/>
        <v>#N/A</v>
      </c>
      <c r="J292" s="9">
        <v>300</v>
      </c>
      <c r="K292" s="9">
        <v>140</v>
      </c>
      <c r="L292" s="9">
        <v>80</v>
      </c>
    </row>
    <row r="293" spans="1:12">
      <c r="A293" s="10">
        <v>1.03125000000002</v>
      </c>
      <c r="B293" s="9" t="e">
        <f t="shared" si="12"/>
        <v>#N/A</v>
      </c>
      <c r="J293" s="9">
        <v>300</v>
      </c>
      <c r="K293" s="9">
        <v>140</v>
      </c>
      <c r="L293" s="9">
        <v>80</v>
      </c>
    </row>
    <row r="294" spans="1:12">
      <c r="A294" s="10">
        <v>1.0416666666666901</v>
      </c>
      <c r="B294" s="9" t="e">
        <f t="shared" si="12"/>
        <v>#N/A</v>
      </c>
      <c r="J294" s="9">
        <v>300</v>
      </c>
      <c r="K294" s="9">
        <v>140</v>
      </c>
      <c r="L294" s="9">
        <v>80</v>
      </c>
    </row>
    <row r="295" spans="1:12">
      <c r="A295" s="10">
        <v>1.0520833333333499</v>
      </c>
      <c r="B295" s="9" t="e">
        <f t="shared" si="12"/>
        <v>#N/A</v>
      </c>
      <c r="J295" s="9">
        <v>300</v>
      </c>
      <c r="K295" s="9">
        <v>140</v>
      </c>
      <c r="L295" s="9">
        <v>80</v>
      </c>
    </row>
    <row r="296" spans="1:12">
      <c r="A296" s="10">
        <v>1.06250000000002</v>
      </c>
      <c r="B296" s="9" t="e">
        <f t="shared" si="12"/>
        <v>#N/A</v>
      </c>
      <c r="J296" s="9">
        <v>300</v>
      </c>
      <c r="K296" s="9">
        <v>140</v>
      </c>
      <c r="L296" s="9">
        <v>80</v>
      </c>
    </row>
    <row r="297" spans="1:12">
      <c r="A297" s="10">
        <v>1.0729166666666901</v>
      </c>
      <c r="B297" s="9" t="e">
        <f t="shared" si="12"/>
        <v>#N/A</v>
      </c>
      <c r="J297" s="9">
        <v>300</v>
      </c>
      <c r="K297" s="9">
        <v>140</v>
      </c>
      <c r="L297" s="9">
        <v>80</v>
      </c>
    </row>
    <row r="298" spans="1:12">
      <c r="A298" s="10">
        <v>1.0833333333333499</v>
      </c>
      <c r="B298" s="9" t="e">
        <f t="shared" si="12"/>
        <v>#N/A</v>
      </c>
      <c r="J298" s="9">
        <v>300</v>
      </c>
      <c r="K298" s="9">
        <v>140</v>
      </c>
      <c r="L298" s="9">
        <v>80</v>
      </c>
    </row>
    <row r="299" spans="1:12">
      <c r="A299" s="10">
        <v>1.09375000000002</v>
      </c>
      <c r="B299" s="9" t="e">
        <f t="shared" si="12"/>
        <v>#N/A</v>
      </c>
      <c r="J299" s="9">
        <v>300</v>
      </c>
      <c r="K299" s="9">
        <v>140</v>
      </c>
      <c r="L299" s="9">
        <v>80</v>
      </c>
    </row>
    <row r="300" spans="1:12">
      <c r="A300" s="10">
        <v>1.1041666666666901</v>
      </c>
      <c r="B300" s="9" t="e">
        <f t="shared" si="12"/>
        <v>#N/A</v>
      </c>
      <c r="J300" s="9">
        <v>300</v>
      </c>
      <c r="K300" s="9">
        <v>140</v>
      </c>
      <c r="L300" s="9">
        <v>80</v>
      </c>
    </row>
    <row r="301" spans="1:12">
      <c r="A301" s="10">
        <v>1.1145833333333599</v>
      </c>
      <c r="B301" s="9" t="e">
        <f t="shared" si="12"/>
        <v>#N/A</v>
      </c>
      <c r="J301" s="9">
        <v>300</v>
      </c>
      <c r="K301" s="9">
        <v>140</v>
      </c>
      <c r="L301" s="9">
        <v>80</v>
      </c>
    </row>
    <row r="302" spans="1:12">
      <c r="A302" s="10">
        <v>1.12500000000002</v>
      </c>
      <c r="B302" s="9" t="e">
        <f t="shared" si="12"/>
        <v>#N/A</v>
      </c>
      <c r="J302" s="9">
        <v>300</v>
      </c>
      <c r="K302" s="9">
        <v>140</v>
      </c>
      <c r="L302" s="9">
        <v>80</v>
      </c>
    </row>
    <row r="303" spans="1:12">
      <c r="A303" s="10">
        <v>1.1354166666666901</v>
      </c>
      <c r="B303" s="9" t="e">
        <f t="shared" si="12"/>
        <v>#N/A</v>
      </c>
      <c r="J303" s="9">
        <v>300</v>
      </c>
      <c r="K303" s="9">
        <v>140</v>
      </c>
      <c r="L303" s="9">
        <v>80</v>
      </c>
    </row>
    <row r="304" spans="1:12">
      <c r="A304" s="10">
        <v>1.1458333333333599</v>
      </c>
      <c r="B304" s="9" t="e">
        <f t="shared" si="12"/>
        <v>#N/A</v>
      </c>
      <c r="J304" s="9">
        <v>300</v>
      </c>
      <c r="K304" s="9">
        <v>140</v>
      </c>
      <c r="L304" s="9">
        <v>80</v>
      </c>
    </row>
    <row r="305" spans="1:12">
      <c r="A305" s="10">
        <v>1.15625000000002</v>
      </c>
      <c r="B305" s="9" t="e">
        <f t="shared" si="12"/>
        <v>#N/A</v>
      </c>
      <c r="J305" s="9">
        <v>300</v>
      </c>
      <c r="K305" s="9">
        <v>140</v>
      </c>
      <c r="L305" s="9">
        <v>80</v>
      </c>
    </row>
    <row r="306" spans="1:12">
      <c r="A306" s="10">
        <v>1.1666666666666901</v>
      </c>
      <c r="B306" s="9" t="e">
        <f t="shared" si="12"/>
        <v>#N/A</v>
      </c>
      <c r="J306" s="9">
        <v>300</v>
      </c>
      <c r="K306" s="9">
        <v>140</v>
      </c>
      <c r="L306" s="9">
        <v>80</v>
      </c>
    </row>
    <row r="307" spans="1:12">
      <c r="A307" s="10">
        <v>1.1770833333333599</v>
      </c>
      <c r="B307" s="9" t="e">
        <f t="shared" si="12"/>
        <v>#N/A</v>
      </c>
      <c r="J307" s="9">
        <v>300</v>
      </c>
      <c r="K307" s="9">
        <v>140</v>
      </c>
      <c r="L307" s="9">
        <v>80</v>
      </c>
    </row>
    <row r="308" spans="1:12">
      <c r="A308" s="10">
        <v>1.18750000000003</v>
      </c>
      <c r="B308" s="9" t="e">
        <f t="shared" si="12"/>
        <v>#N/A</v>
      </c>
      <c r="J308" s="9">
        <v>300</v>
      </c>
      <c r="K308" s="9">
        <v>140</v>
      </c>
      <c r="L308" s="9">
        <v>80</v>
      </c>
    </row>
    <row r="309" spans="1:12">
      <c r="A309" s="10">
        <v>1.1979166666666901</v>
      </c>
      <c r="B309" s="9" t="e">
        <f t="shared" si="12"/>
        <v>#N/A</v>
      </c>
      <c r="J309" s="9">
        <v>300</v>
      </c>
      <c r="K309" s="9">
        <v>140</v>
      </c>
      <c r="L309" s="9">
        <v>80</v>
      </c>
    </row>
    <row r="310" spans="1:12">
      <c r="A310" s="10">
        <v>1.2083333333333599</v>
      </c>
      <c r="B310" s="9" t="e">
        <f t="shared" si="12"/>
        <v>#N/A</v>
      </c>
      <c r="J310" s="9">
        <v>300</v>
      </c>
      <c r="K310" s="9">
        <v>140</v>
      </c>
      <c r="L310" s="9">
        <v>80</v>
      </c>
    </row>
    <row r="311" spans="1:12">
      <c r="A311" s="10">
        <v>1.21875000000003</v>
      </c>
      <c r="B311" s="9" t="e">
        <f t="shared" si="12"/>
        <v>#N/A</v>
      </c>
      <c r="J311" s="9">
        <v>300</v>
      </c>
      <c r="K311" s="9">
        <v>140</v>
      </c>
      <c r="L311" s="9">
        <v>80</v>
      </c>
    </row>
    <row r="312" spans="1:12">
      <c r="A312" s="10">
        <v>1.2291666666666901</v>
      </c>
      <c r="B312" s="9" t="e">
        <f t="shared" si="12"/>
        <v>#N/A</v>
      </c>
      <c r="J312" s="9">
        <v>300</v>
      </c>
      <c r="K312" s="9">
        <v>140</v>
      </c>
      <c r="L312" s="9">
        <v>80</v>
      </c>
    </row>
    <row r="313" spans="1:12">
      <c r="A313" s="10">
        <v>1.2395833333333599</v>
      </c>
      <c r="B313" s="9" t="e">
        <f t="shared" si="12"/>
        <v>#N/A</v>
      </c>
      <c r="J313" s="9">
        <v>300</v>
      </c>
      <c r="K313" s="9">
        <v>140</v>
      </c>
      <c r="L313" s="9">
        <v>80</v>
      </c>
    </row>
    <row r="314" spans="1:12">
      <c r="A314" s="10">
        <v>0.25</v>
      </c>
      <c r="B314" s="9" t="e">
        <f>D2</f>
        <v>#N/A</v>
      </c>
      <c r="J314" s="9">
        <v>300</v>
      </c>
      <c r="K314" s="9">
        <v>140</v>
      </c>
      <c r="L314" s="9">
        <v>80</v>
      </c>
    </row>
    <row r="315" spans="1:12">
      <c r="A315" s="10">
        <v>0.26041666666666669</v>
      </c>
      <c r="B315" s="9" t="e">
        <f t="shared" ref="B315:B378" si="13">D3</f>
        <v>#N/A</v>
      </c>
      <c r="J315" s="9">
        <v>300</v>
      </c>
      <c r="K315" s="9">
        <v>140</v>
      </c>
      <c r="L315" s="9">
        <v>80</v>
      </c>
    </row>
    <row r="316" spans="1:12">
      <c r="A316" s="10">
        <v>0.27083333333333331</v>
      </c>
      <c r="B316" s="9" t="e">
        <f t="shared" si="13"/>
        <v>#N/A</v>
      </c>
      <c r="J316" s="9">
        <v>300</v>
      </c>
      <c r="K316" s="9">
        <v>140</v>
      </c>
      <c r="L316" s="9">
        <v>80</v>
      </c>
    </row>
    <row r="317" spans="1:12">
      <c r="A317" s="10">
        <v>0.28125</v>
      </c>
      <c r="B317" s="9" t="e">
        <f t="shared" si="13"/>
        <v>#N/A</v>
      </c>
      <c r="J317" s="9">
        <v>300</v>
      </c>
      <c r="K317" s="9">
        <v>140</v>
      </c>
      <c r="L317" s="9">
        <v>80</v>
      </c>
    </row>
    <row r="318" spans="1:12">
      <c r="A318" s="10">
        <v>0.29166666666666702</v>
      </c>
      <c r="B318" s="9" t="e">
        <f t="shared" si="13"/>
        <v>#N/A</v>
      </c>
      <c r="J318" s="9">
        <v>300</v>
      </c>
      <c r="K318" s="9">
        <v>140</v>
      </c>
      <c r="L318" s="9">
        <v>80</v>
      </c>
    </row>
    <row r="319" spans="1:12">
      <c r="A319" s="10">
        <v>0.30208333333333298</v>
      </c>
      <c r="B319" s="9" t="e">
        <f t="shared" si="13"/>
        <v>#N/A</v>
      </c>
      <c r="J319" s="9">
        <v>300</v>
      </c>
      <c r="K319" s="9">
        <v>140</v>
      </c>
      <c r="L319" s="9">
        <v>80</v>
      </c>
    </row>
    <row r="320" spans="1:12">
      <c r="A320" s="10">
        <v>0.3125</v>
      </c>
      <c r="B320" s="9" t="e">
        <f t="shared" si="13"/>
        <v>#N/A</v>
      </c>
      <c r="J320" s="9">
        <v>300</v>
      </c>
      <c r="K320" s="9">
        <v>140</v>
      </c>
      <c r="L320" s="9">
        <v>80</v>
      </c>
    </row>
    <row r="321" spans="1:12">
      <c r="A321" s="10">
        <v>0.32291666666666702</v>
      </c>
      <c r="B321" s="9" t="e">
        <f t="shared" si="13"/>
        <v>#N/A</v>
      </c>
      <c r="J321" s="9">
        <v>300</v>
      </c>
      <c r="K321" s="9">
        <v>140</v>
      </c>
      <c r="L321" s="9">
        <v>80</v>
      </c>
    </row>
    <row r="322" spans="1:12">
      <c r="A322" s="10">
        <v>0.33333333333333298</v>
      </c>
      <c r="B322" s="9" t="e">
        <f t="shared" si="13"/>
        <v>#N/A</v>
      </c>
      <c r="J322" s="9">
        <v>300</v>
      </c>
      <c r="K322" s="9">
        <v>140</v>
      </c>
      <c r="L322" s="9">
        <v>80</v>
      </c>
    </row>
    <row r="323" spans="1:12">
      <c r="A323" s="10">
        <v>0.34375</v>
      </c>
      <c r="B323" s="9" t="e">
        <f t="shared" si="13"/>
        <v>#N/A</v>
      </c>
      <c r="J323" s="9">
        <v>300</v>
      </c>
      <c r="K323" s="9">
        <v>140</v>
      </c>
      <c r="L323" s="9">
        <v>80</v>
      </c>
    </row>
    <row r="324" spans="1:12">
      <c r="A324" s="10">
        <v>0.35416666666666702</v>
      </c>
      <c r="B324" s="9" t="e">
        <f t="shared" si="13"/>
        <v>#N/A</v>
      </c>
      <c r="J324" s="9">
        <v>300</v>
      </c>
      <c r="K324" s="9">
        <v>140</v>
      </c>
      <c r="L324" s="9">
        <v>80</v>
      </c>
    </row>
    <row r="325" spans="1:12">
      <c r="A325" s="10">
        <v>0.36458333333333398</v>
      </c>
      <c r="B325" s="9" t="e">
        <f t="shared" si="13"/>
        <v>#N/A</v>
      </c>
      <c r="J325" s="9">
        <v>300</v>
      </c>
      <c r="K325" s="9">
        <v>140</v>
      </c>
      <c r="L325" s="9">
        <v>80</v>
      </c>
    </row>
    <row r="326" spans="1:12">
      <c r="A326" s="10">
        <v>0.375</v>
      </c>
      <c r="B326" s="9" t="e">
        <f t="shared" si="13"/>
        <v>#N/A</v>
      </c>
      <c r="J326" s="9">
        <v>300</v>
      </c>
      <c r="K326" s="9">
        <v>140</v>
      </c>
      <c r="L326" s="9">
        <v>80</v>
      </c>
    </row>
    <row r="327" spans="1:12">
      <c r="A327" s="10">
        <v>0.38541666666666702</v>
      </c>
      <c r="B327" s="9" t="e">
        <f t="shared" si="13"/>
        <v>#N/A</v>
      </c>
      <c r="J327" s="9">
        <v>300</v>
      </c>
      <c r="K327" s="9">
        <v>140</v>
      </c>
      <c r="L327" s="9">
        <v>80</v>
      </c>
    </row>
    <row r="328" spans="1:12">
      <c r="A328" s="10">
        <v>0.39583333333333398</v>
      </c>
      <c r="B328" s="9" t="e">
        <f t="shared" si="13"/>
        <v>#N/A</v>
      </c>
      <c r="J328" s="9">
        <v>300</v>
      </c>
      <c r="K328" s="9">
        <v>140</v>
      </c>
      <c r="L328" s="9">
        <v>80</v>
      </c>
    </row>
    <row r="329" spans="1:12">
      <c r="A329" s="10">
        <v>0.40625</v>
      </c>
      <c r="B329" s="9" t="e">
        <f t="shared" si="13"/>
        <v>#N/A</v>
      </c>
      <c r="J329" s="9">
        <v>300</v>
      </c>
      <c r="K329" s="9">
        <v>140</v>
      </c>
      <c r="L329" s="9">
        <v>80</v>
      </c>
    </row>
    <row r="330" spans="1:12">
      <c r="A330" s="10">
        <v>0.41666666666666702</v>
      </c>
      <c r="B330" s="9" t="e">
        <f t="shared" si="13"/>
        <v>#N/A</v>
      </c>
      <c r="J330" s="9">
        <v>300</v>
      </c>
      <c r="K330" s="9">
        <v>140</v>
      </c>
      <c r="L330" s="9">
        <v>80</v>
      </c>
    </row>
    <row r="331" spans="1:12">
      <c r="A331" s="10">
        <v>0.42708333333333398</v>
      </c>
      <c r="B331" s="9" t="e">
        <f t="shared" si="13"/>
        <v>#N/A</v>
      </c>
      <c r="J331" s="9">
        <v>300</v>
      </c>
      <c r="K331" s="9">
        <v>140</v>
      </c>
      <c r="L331" s="9">
        <v>80</v>
      </c>
    </row>
    <row r="332" spans="1:12">
      <c r="A332" s="10">
        <v>0.4375</v>
      </c>
      <c r="B332" s="9" t="e">
        <f t="shared" si="13"/>
        <v>#N/A</v>
      </c>
      <c r="J332" s="9">
        <v>300</v>
      </c>
      <c r="K332" s="9">
        <v>140</v>
      </c>
      <c r="L332" s="9">
        <v>80</v>
      </c>
    </row>
    <row r="333" spans="1:12">
      <c r="A333" s="10">
        <v>0.44791666666666702</v>
      </c>
      <c r="B333" s="9" t="e">
        <f t="shared" si="13"/>
        <v>#N/A</v>
      </c>
      <c r="J333" s="9">
        <v>300</v>
      </c>
      <c r="K333" s="9">
        <v>140</v>
      </c>
      <c r="L333" s="9">
        <v>80</v>
      </c>
    </row>
    <row r="334" spans="1:12">
      <c r="A334" s="10">
        <v>0.45833333333333398</v>
      </c>
      <c r="B334" s="9" t="e">
        <f t="shared" si="13"/>
        <v>#N/A</v>
      </c>
      <c r="J334" s="9">
        <v>300</v>
      </c>
      <c r="K334" s="9">
        <v>140</v>
      </c>
      <c r="L334" s="9">
        <v>80</v>
      </c>
    </row>
    <row r="335" spans="1:12">
      <c r="A335" s="10">
        <v>0.46875</v>
      </c>
      <c r="B335" s="9" t="e">
        <f t="shared" si="13"/>
        <v>#N/A</v>
      </c>
      <c r="J335" s="9">
        <v>300</v>
      </c>
      <c r="K335" s="9">
        <v>140</v>
      </c>
      <c r="L335" s="9">
        <v>80</v>
      </c>
    </row>
    <row r="336" spans="1:12">
      <c r="A336" s="10">
        <v>0.47916666666666702</v>
      </c>
      <c r="B336" s="9" t="e">
        <f t="shared" si="13"/>
        <v>#N/A</v>
      </c>
      <c r="J336" s="9">
        <v>300</v>
      </c>
      <c r="K336" s="9">
        <v>140</v>
      </c>
      <c r="L336" s="9">
        <v>80</v>
      </c>
    </row>
    <row r="337" spans="1:12">
      <c r="A337" s="10">
        <v>0.48958333333333398</v>
      </c>
      <c r="B337" s="9" t="e">
        <f t="shared" si="13"/>
        <v>#N/A</v>
      </c>
      <c r="J337" s="9">
        <v>300</v>
      </c>
      <c r="K337" s="9">
        <v>140</v>
      </c>
      <c r="L337" s="9">
        <v>80</v>
      </c>
    </row>
    <row r="338" spans="1:12">
      <c r="A338" s="10">
        <v>0.5</v>
      </c>
      <c r="B338" s="9" t="e">
        <f t="shared" si="13"/>
        <v>#N/A</v>
      </c>
      <c r="J338" s="9">
        <v>300</v>
      </c>
      <c r="K338" s="9">
        <v>140</v>
      </c>
      <c r="L338" s="9">
        <v>80</v>
      </c>
    </row>
    <row r="339" spans="1:12">
      <c r="A339" s="10">
        <v>0.51041666666666696</v>
      </c>
      <c r="B339" s="9" t="e">
        <f t="shared" si="13"/>
        <v>#N/A</v>
      </c>
      <c r="J339" s="9">
        <v>300</v>
      </c>
      <c r="K339" s="9">
        <v>140</v>
      </c>
      <c r="L339" s="9">
        <v>80</v>
      </c>
    </row>
    <row r="340" spans="1:12">
      <c r="A340" s="10">
        <v>0.52083333333333404</v>
      </c>
      <c r="B340" s="9" t="e">
        <f t="shared" si="13"/>
        <v>#N/A</v>
      </c>
      <c r="J340" s="9">
        <v>300</v>
      </c>
      <c r="K340" s="9">
        <v>140</v>
      </c>
      <c r="L340" s="9">
        <v>80</v>
      </c>
    </row>
    <row r="341" spans="1:12">
      <c r="A341" s="10">
        <v>0.53125</v>
      </c>
      <c r="B341" s="9" t="e">
        <f t="shared" si="13"/>
        <v>#N/A</v>
      </c>
      <c r="J341" s="9">
        <v>300</v>
      </c>
      <c r="K341" s="9">
        <v>140</v>
      </c>
      <c r="L341" s="9">
        <v>80</v>
      </c>
    </row>
    <row r="342" spans="1:12">
      <c r="A342" s="10">
        <v>0.54166666666666696</v>
      </c>
      <c r="B342" s="9" t="e">
        <f t="shared" si="13"/>
        <v>#N/A</v>
      </c>
      <c r="J342" s="9">
        <v>300</v>
      </c>
      <c r="K342" s="9">
        <v>140</v>
      </c>
      <c r="L342" s="9">
        <v>80</v>
      </c>
    </row>
    <row r="343" spans="1:12">
      <c r="A343" s="10">
        <v>0.55208333333333404</v>
      </c>
      <c r="B343" s="9" t="e">
        <f t="shared" si="13"/>
        <v>#N/A</v>
      </c>
      <c r="J343" s="9">
        <v>300</v>
      </c>
      <c r="K343" s="9">
        <v>140</v>
      </c>
      <c r="L343" s="9">
        <v>80</v>
      </c>
    </row>
    <row r="344" spans="1:12">
      <c r="A344" s="10">
        <v>0.562500000000001</v>
      </c>
      <c r="B344" s="9" t="e">
        <f t="shared" si="13"/>
        <v>#N/A</v>
      </c>
      <c r="J344" s="9">
        <v>300</v>
      </c>
      <c r="K344" s="9">
        <v>140</v>
      </c>
      <c r="L344" s="9">
        <v>80</v>
      </c>
    </row>
    <row r="345" spans="1:12">
      <c r="A345" s="10">
        <v>0.57291666666666696</v>
      </c>
      <c r="B345" s="9" t="e">
        <f t="shared" si="13"/>
        <v>#N/A</v>
      </c>
      <c r="J345" s="9">
        <v>300</v>
      </c>
      <c r="K345" s="9">
        <v>140</v>
      </c>
      <c r="L345" s="9">
        <v>80</v>
      </c>
    </row>
    <row r="346" spans="1:12">
      <c r="A346" s="10">
        <v>0.58333333333333504</v>
      </c>
      <c r="B346" s="9" t="e">
        <f t="shared" si="13"/>
        <v>#N/A</v>
      </c>
      <c r="J346" s="9">
        <v>300</v>
      </c>
      <c r="K346" s="9">
        <v>140</v>
      </c>
      <c r="L346" s="9">
        <v>80</v>
      </c>
    </row>
    <row r="347" spans="1:12">
      <c r="A347" s="10">
        <v>0.593750000000002</v>
      </c>
      <c r="B347" s="9" t="e">
        <f t="shared" si="13"/>
        <v>#N/A</v>
      </c>
      <c r="J347" s="9">
        <v>300</v>
      </c>
      <c r="K347" s="9">
        <v>140</v>
      </c>
      <c r="L347" s="9">
        <v>80</v>
      </c>
    </row>
    <row r="348" spans="1:12">
      <c r="A348" s="10">
        <v>0.60416666666666896</v>
      </c>
      <c r="B348" s="9" t="e">
        <f t="shared" si="13"/>
        <v>#N/A</v>
      </c>
      <c r="J348" s="9">
        <v>300</v>
      </c>
      <c r="K348" s="9">
        <v>140</v>
      </c>
      <c r="L348" s="9">
        <v>80</v>
      </c>
    </row>
    <row r="349" spans="1:12">
      <c r="A349" s="10">
        <v>0.61458333333333603</v>
      </c>
      <c r="B349" s="9" t="e">
        <f t="shared" si="13"/>
        <v>#N/A</v>
      </c>
      <c r="J349" s="9">
        <v>300</v>
      </c>
      <c r="K349" s="9">
        <v>140</v>
      </c>
      <c r="L349" s="9">
        <v>80</v>
      </c>
    </row>
    <row r="350" spans="1:12">
      <c r="A350" s="10">
        <v>0.625000000000004</v>
      </c>
      <c r="B350" s="9" t="e">
        <f t="shared" si="13"/>
        <v>#N/A</v>
      </c>
      <c r="J350" s="9">
        <v>300</v>
      </c>
      <c r="K350" s="9">
        <v>140</v>
      </c>
      <c r="L350" s="9">
        <v>80</v>
      </c>
    </row>
    <row r="351" spans="1:12">
      <c r="A351" s="10">
        <v>0.63541666666667096</v>
      </c>
      <c r="B351" s="9" t="e">
        <f t="shared" si="13"/>
        <v>#N/A</v>
      </c>
      <c r="J351" s="9">
        <v>300</v>
      </c>
      <c r="K351" s="9">
        <v>140</v>
      </c>
      <c r="L351" s="9">
        <v>80</v>
      </c>
    </row>
    <row r="352" spans="1:12">
      <c r="A352" s="10">
        <v>0.64583333333333803</v>
      </c>
      <c r="B352" s="9" t="e">
        <f t="shared" si="13"/>
        <v>#N/A</v>
      </c>
      <c r="J352" s="9">
        <v>300</v>
      </c>
      <c r="K352" s="9">
        <v>140</v>
      </c>
      <c r="L352" s="9">
        <v>80</v>
      </c>
    </row>
    <row r="353" spans="1:12">
      <c r="A353" s="10">
        <v>0.656250000000005</v>
      </c>
      <c r="B353" s="9" t="e">
        <f t="shared" si="13"/>
        <v>#N/A</v>
      </c>
      <c r="J353" s="9">
        <v>300</v>
      </c>
      <c r="K353" s="9">
        <v>140</v>
      </c>
      <c r="L353" s="9">
        <v>80</v>
      </c>
    </row>
    <row r="354" spans="1:12">
      <c r="A354" s="10">
        <v>0.66666666666667196</v>
      </c>
      <c r="B354" s="9" t="e">
        <f t="shared" si="13"/>
        <v>#N/A</v>
      </c>
      <c r="J354" s="9">
        <v>300</v>
      </c>
      <c r="K354" s="9">
        <v>140</v>
      </c>
      <c r="L354" s="9">
        <v>80</v>
      </c>
    </row>
    <row r="355" spans="1:12">
      <c r="A355" s="10">
        <v>0.67708333333333903</v>
      </c>
      <c r="B355" s="9" t="e">
        <f t="shared" si="13"/>
        <v>#N/A</v>
      </c>
      <c r="J355" s="9">
        <v>300</v>
      </c>
      <c r="K355" s="9">
        <v>140</v>
      </c>
      <c r="L355" s="9">
        <v>80</v>
      </c>
    </row>
    <row r="356" spans="1:12">
      <c r="A356" s="10">
        <v>0.687500000000006</v>
      </c>
      <c r="B356" s="9" t="e">
        <f t="shared" si="13"/>
        <v>#N/A</v>
      </c>
      <c r="J356" s="9">
        <v>300</v>
      </c>
      <c r="K356" s="9">
        <v>140</v>
      </c>
      <c r="L356" s="9">
        <v>80</v>
      </c>
    </row>
    <row r="357" spans="1:12">
      <c r="A357" s="10">
        <v>0.69791666666667296</v>
      </c>
      <c r="B357" s="9" t="e">
        <f t="shared" si="13"/>
        <v>#N/A</v>
      </c>
      <c r="J357" s="9">
        <v>300</v>
      </c>
      <c r="K357" s="9">
        <v>140</v>
      </c>
      <c r="L357" s="9">
        <v>80</v>
      </c>
    </row>
    <row r="358" spans="1:12">
      <c r="A358" s="10">
        <v>0.70833333333334003</v>
      </c>
      <c r="B358" s="9" t="e">
        <f t="shared" si="13"/>
        <v>#N/A</v>
      </c>
      <c r="J358" s="9">
        <v>300</v>
      </c>
      <c r="K358" s="9">
        <v>140</v>
      </c>
      <c r="L358" s="9">
        <v>80</v>
      </c>
    </row>
    <row r="359" spans="1:12">
      <c r="A359" s="10">
        <v>0.71875000000000699</v>
      </c>
      <c r="B359" s="9" t="e">
        <f t="shared" si="13"/>
        <v>#N/A</v>
      </c>
      <c r="J359" s="9">
        <v>300</v>
      </c>
      <c r="K359" s="9">
        <v>140</v>
      </c>
      <c r="L359" s="9">
        <v>80</v>
      </c>
    </row>
    <row r="360" spans="1:12">
      <c r="A360" s="10">
        <v>0.72916666666667396</v>
      </c>
      <c r="B360" s="9" t="e">
        <f t="shared" si="13"/>
        <v>#N/A</v>
      </c>
      <c r="J360" s="9">
        <v>300</v>
      </c>
      <c r="K360" s="9">
        <v>140</v>
      </c>
      <c r="L360" s="9">
        <v>80</v>
      </c>
    </row>
    <row r="361" spans="1:12">
      <c r="A361" s="10">
        <v>0.73958333333334103</v>
      </c>
      <c r="B361" s="9" t="e">
        <f t="shared" si="13"/>
        <v>#N/A</v>
      </c>
      <c r="J361" s="9">
        <v>300</v>
      </c>
      <c r="K361" s="9">
        <v>140</v>
      </c>
      <c r="L361" s="9">
        <v>80</v>
      </c>
    </row>
    <row r="362" spans="1:12">
      <c r="A362" s="10">
        <v>0.75000000000000799</v>
      </c>
      <c r="B362" s="9" t="e">
        <f t="shared" si="13"/>
        <v>#N/A</v>
      </c>
      <c r="J362" s="9">
        <v>300</v>
      </c>
      <c r="K362" s="9">
        <v>140</v>
      </c>
      <c r="L362" s="9">
        <v>80</v>
      </c>
    </row>
    <row r="363" spans="1:12">
      <c r="A363" s="10">
        <v>0.76041666666667596</v>
      </c>
      <c r="B363" s="9" t="e">
        <f t="shared" si="13"/>
        <v>#N/A</v>
      </c>
      <c r="J363" s="9">
        <v>300</v>
      </c>
      <c r="K363" s="9">
        <v>140</v>
      </c>
      <c r="L363" s="9">
        <v>80</v>
      </c>
    </row>
    <row r="364" spans="1:12">
      <c r="A364" s="10">
        <v>0.77083333333334303</v>
      </c>
      <c r="B364" s="9" t="e">
        <f t="shared" si="13"/>
        <v>#N/A</v>
      </c>
      <c r="J364" s="9">
        <v>300</v>
      </c>
      <c r="K364" s="9">
        <v>140</v>
      </c>
      <c r="L364" s="9">
        <v>80</v>
      </c>
    </row>
    <row r="365" spans="1:12">
      <c r="A365" s="10">
        <v>0.78125000000000999</v>
      </c>
      <c r="B365" s="9" t="e">
        <f t="shared" si="13"/>
        <v>#N/A</v>
      </c>
      <c r="J365" s="9">
        <v>300</v>
      </c>
      <c r="K365" s="9">
        <v>140</v>
      </c>
      <c r="L365" s="9">
        <v>80</v>
      </c>
    </row>
    <row r="366" spans="1:12">
      <c r="A366" s="10">
        <v>0.79166666666667695</v>
      </c>
      <c r="B366" s="9" t="e">
        <f t="shared" si="13"/>
        <v>#N/A</v>
      </c>
      <c r="J366" s="9">
        <v>300</v>
      </c>
      <c r="K366" s="9">
        <v>140</v>
      </c>
      <c r="L366" s="9">
        <v>80</v>
      </c>
    </row>
    <row r="367" spans="1:12">
      <c r="A367" s="10">
        <v>0.80208333333334403</v>
      </c>
      <c r="B367" s="9" t="e">
        <f t="shared" si="13"/>
        <v>#N/A</v>
      </c>
      <c r="J367" s="9">
        <v>300</v>
      </c>
      <c r="K367" s="9">
        <v>140</v>
      </c>
      <c r="L367" s="9">
        <v>80</v>
      </c>
    </row>
    <row r="368" spans="1:12">
      <c r="A368" s="10">
        <v>0.81250000000001099</v>
      </c>
      <c r="B368" s="9" t="e">
        <f t="shared" si="13"/>
        <v>#N/A</v>
      </c>
      <c r="J368" s="9">
        <v>300</v>
      </c>
      <c r="K368" s="9">
        <v>140</v>
      </c>
      <c r="L368" s="9">
        <v>80</v>
      </c>
    </row>
    <row r="369" spans="1:12">
      <c r="A369" s="10">
        <v>0.82291666666667795</v>
      </c>
      <c r="B369" s="9" t="e">
        <f t="shared" si="13"/>
        <v>#N/A</v>
      </c>
      <c r="J369" s="9">
        <v>300</v>
      </c>
      <c r="K369" s="9">
        <v>140</v>
      </c>
      <c r="L369" s="9">
        <v>80</v>
      </c>
    </row>
    <row r="370" spans="1:12">
      <c r="A370" s="10">
        <v>0.83333333333334503</v>
      </c>
      <c r="B370" s="9" t="e">
        <f t="shared" si="13"/>
        <v>#N/A</v>
      </c>
      <c r="J370" s="9">
        <v>300</v>
      </c>
      <c r="K370" s="9">
        <v>140</v>
      </c>
      <c r="L370" s="9">
        <v>80</v>
      </c>
    </row>
    <row r="371" spans="1:12">
      <c r="A371" s="10">
        <v>0.84375000000001199</v>
      </c>
      <c r="B371" s="9" t="e">
        <f t="shared" si="13"/>
        <v>#N/A</v>
      </c>
      <c r="J371" s="9">
        <v>300</v>
      </c>
      <c r="K371" s="9">
        <v>140</v>
      </c>
      <c r="L371" s="9">
        <v>80</v>
      </c>
    </row>
    <row r="372" spans="1:12">
      <c r="A372" s="10">
        <v>0.85416666666667895</v>
      </c>
      <c r="B372" s="9" t="e">
        <f t="shared" si="13"/>
        <v>#N/A</v>
      </c>
      <c r="J372" s="9">
        <v>300</v>
      </c>
      <c r="K372" s="9">
        <v>140</v>
      </c>
      <c r="L372" s="9">
        <v>80</v>
      </c>
    </row>
    <row r="373" spans="1:12">
      <c r="A373" s="10">
        <v>0.86458333333334603</v>
      </c>
      <c r="B373" s="9" t="e">
        <f t="shared" si="13"/>
        <v>#N/A</v>
      </c>
      <c r="J373" s="9">
        <v>300</v>
      </c>
      <c r="K373" s="9">
        <v>140</v>
      </c>
      <c r="L373" s="9">
        <v>80</v>
      </c>
    </row>
    <row r="374" spans="1:12">
      <c r="A374" s="10">
        <v>0.87500000000001299</v>
      </c>
      <c r="B374" s="9" t="e">
        <f t="shared" si="13"/>
        <v>#N/A</v>
      </c>
      <c r="J374" s="9">
        <v>300</v>
      </c>
      <c r="K374" s="9">
        <v>140</v>
      </c>
      <c r="L374" s="9">
        <v>80</v>
      </c>
    </row>
    <row r="375" spans="1:12">
      <c r="A375" s="10">
        <v>0.88541666666667995</v>
      </c>
      <c r="B375" s="9" t="e">
        <f t="shared" si="13"/>
        <v>#N/A</v>
      </c>
      <c r="J375" s="9">
        <v>300</v>
      </c>
      <c r="K375" s="9">
        <v>140</v>
      </c>
      <c r="L375" s="9">
        <v>80</v>
      </c>
    </row>
    <row r="376" spans="1:12">
      <c r="A376" s="10">
        <v>0.89583333333334803</v>
      </c>
      <c r="B376" s="9" t="e">
        <f t="shared" si="13"/>
        <v>#N/A</v>
      </c>
      <c r="J376" s="9">
        <v>300</v>
      </c>
      <c r="K376" s="9">
        <v>140</v>
      </c>
      <c r="L376" s="9">
        <v>80</v>
      </c>
    </row>
    <row r="377" spans="1:12">
      <c r="A377" s="10">
        <v>0.90625000000001499</v>
      </c>
      <c r="B377" s="9" t="e">
        <f t="shared" si="13"/>
        <v>#N/A</v>
      </c>
      <c r="J377" s="9">
        <v>300</v>
      </c>
      <c r="K377" s="9">
        <v>140</v>
      </c>
      <c r="L377" s="9">
        <v>80</v>
      </c>
    </row>
    <row r="378" spans="1:12">
      <c r="A378" s="10">
        <v>0.91666666666668195</v>
      </c>
      <c r="B378" s="9" t="e">
        <f t="shared" si="13"/>
        <v>#N/A</v>
      </c>
      <c r="J378" s="9">
        <v>300</v>
      </c>
      <c r="K378" s="9">
        <v>140</v>
      </c>
      <c r="L378" s="9">
        <v>80</v>
      </c>
    </row>
    <row r="379" spans="1:12">
      <c r="A379" s="10">
        <v>0.92708333333334902</v>
      </c>
      <c r="B379" s="9" t="e">
        <f t="shared" ref="B379:B409" si="14">D67</f>
        <v>#N/A</v>
      </c>
      <c r="J379" s="9">
        <v>300</v>
      </c>
      <c r="K379" s="9">
        <v>140</v>
      </c>
      <c r="L379" s="9">
        <v>80</v>
      </c>
    </row>
    <row r="380" spans="1:12">
      <c r="A380" s="10">
        <v>0.93750000000001599</v>
      </c>
      <c r="B380" s="9" t="e">
        <f t="shared" si="14"/>
        <v>#N/A</v>
      </c>
      <c r="J380" s="9">
        <v>300</v>
      </c>
      <c r="K380" s="9">
        <v>140</v>
      </c>
      <c r="L380" s="9">
        <v>80</v>
      </c>
    </row>
    <row r="381" spans="1:12">
      <c r="A381" s="10">
        <v>0.94791666666668295</v>
      </c>
      <c r="B381" s="9" t="e">
        <f t="shared" si="14"/>
        <v>#N/A</v>
      </c>
      <c r="J381" s="9">
        <v>300</v>
      </c>
      <c r="K381" s="9">
        <v>140</v>
      </c>
      <c r="L381" s="9">
        <v>80</v>
      </c>
    </row>
    <row r="382" spans="1:12">
      <c r="A382" s="10">
        <v>0.95833333333335002</v>
      </c>
      <c r="B382" s="9" t="e">
        <f t="shared" si="14"/>
        <v>#N/A</v>
      </c>
      <c r="J382" s="9">
        <v>300</v>
      </c>
      <c r="K382" s="9">
        <v>140</v>
      </c>
      <c r="L382" s="9">
        <v>80</v>
      </c>
    </row>
    <row r="383" spans="1:12">
      <c r="A383" s="10">
        <v>0.96875000000001699</v>
      </c>
      <c r="B383" s="9" t="e">
        <f t="shared" si="14"/>
        <v>#N/A</v>
      </c>
      <c r="J383" s="9">
        <v>300</v>
      </c>
      <c r="K383" s="9">
        <v>140</v>
      </c>
      <c r="L383" s="9">
        <v>80</v>
      </c>
    </row>
    <row r="384" spans="1:12">
      <c r="A384" s="10">
        <v>0.97916666666668395</v>
      </c>
      <c r="B384" s="9" t="e">
        <f t="shared" si="14"/>
        <v>#N/A</v>
      </c>
      <c r="J384" s="9">
        <v>300</v>
      </c>
      <c r="K384" s="9">
        <v>140</v>
      </c>
      <c r="L384" s="9">
        <v>80</v>
      </c>
    </row>
    <row r="385" spans="1:12">
      <c r="A385" s="10">
        <v>0.98958333333335102</v>
      </c>
      <c r="B385" s="9" t="e">
        <f t="shared" si="14"/>
        <v>#N/A</v>
      </c>
      <c r="J385" s="9">
        <v>300</v>
      </c>
      <c r="K385" s="9">
        <v>140</v>
      </c>
      <c r="L385" s="9">
        <v>80</v>
      </c>
    </row>
    <row r="386" spans="1:12">
      <c r="A386" s="10">
        <v>1.00000000000002</v>
      </c>
      <c r="B386" s="9" t="e">
        <f t="shared" si="14"/>
        <v>#N/A</v>
      </c>
      <c r="J386" s="9">
        <v>300</v>
      </c>
      <c r="K386" s="9">
        <v>140</v>
      </c>
      <c r="L386" s="9">
        <v>80</v>
      </c>
    </row>
    <row r="387" spans="1:12">
      <c r="A387" s="10">
        <v>1.0104166666666801</v>
      </c>
      <c r="B387" s="9" t="e">
        <f t="shared" si="14"/>
        <v>#N/A</v>
      </c>
      <c r="J387" s="9">
        <v>300</v>
      </c>
      <c r="K387" s="9">
        <v>140</v>
      </c>
      <c r="L387" s="9">
        <v>80</v>
      </c>
    </row>
    <row r="388" spans="1:12">
      <c r="A388" s="10">
        <v>1.0208333333333499</v>
      </c>
      <c r="B388" s="9" t="e">
        <f t="shared" si="14"/>
        <v>#N/A</v>
      </c>
      <c r="J388" s="9">
        <v>300</v>
      </c>
      <c r="K388" s="9">
        <v>140</v>
      </c>
      <c r="L388" s="9">
        <v>80</v>
      </c>
    </row>
    <row r="389" spans="1:12">
      <c r="A389" s="10">
        <v>1.03125000000002</v>
      </c>
      <c r="B389" s="9" t="e">
        <f t="shared" si="14"/>
        <v>#N/A</v>
      </c>
      <c r="J389" s="9">
        <v>300</v>
      </c>
      <c r="K389" s="9">
        <v>140</v>
      </c>
      <c r="L389" s="9">
        <v>80</v>
      </c>
    </row>
    <row r="390" spans="1:12">
      <c r="A390" s="10">
        <v>1.0416666666666901</v>
      </c>
      <c r="B390" s="9" t="e">
        <f t="shared" si="14"/>
        <v>#N/A</v>
      </c>
      <c r="J390" s="9">
        <v>300</v>
      </c>
      <c r="K390" s="9">
        <v>140</v>
      </c>
      <c r="L390" s="9">
        <v>80</v>
      </c>
    </row>
    <row r="391" spans="1:12">
      <c r="A391" s="10">
        <v>1.0520833333333499</v>
      </c>
      <c r="B391" s="9" t="e">
        <f t="shared" si="14"/>
        <v>#N/A</v>
      </c>
      <c r="J391" s="9">
        <v>300</v>
      </c>
      <c r="K391" s="9">
        <v>140</v>
      </c>
      <c r="L391" s="9">
        <v>80</v>
      </c>
    </row>
    <row r="392" spans="1:12">
      <c r="A392" s="10">
        <v>1.06250000000002</v>
      </c>
      <c r="B392" s="9" t="e">
        <f t="shared" si="14"/>
        <v>#N/A</v>
      </c>
      <c r="J392" s="9">
        <v>300</v>
      </c>
      <c r="K392" s="9">
        <v>140</v>
      </c>
      <c r="L392" s="9">
        <v>80</v>
      </c>
    </row>
    <row r="393" spans="1:12">
      <c r="A393" s="10">
        <v>1.0729166666666901</v>
      </c>
      <c r="B393" s="9" t="e">
        <f t="shared" si="14"/>
        <v>#N/A</v>
      </c>
      <c r="J393" s="9">
        <v>300</v>
      </c>
      <c r="K393" s="9">
        <v>140</v>
      </c>
      <c r="L393" s="9">
        <v>80</v>
      </c>
    </row>
    <row r="394" spans="1:12">
      <c r="A394" s="10">
        <v>1.0833333333333499</v>
      </c>
      <c r="B394" s="9" t="e">
        <f t="shared" si="14"/>
        <v>#N/A</v>
      </c>
      <c r="J394" s="9">
        <v>300</v>
      </c>
      <c r="K394" s="9">
        <v>140</v>
      </c>
      <c r="L394" s="9">
        <v>80</v>
      </c>
    </row>
    <row r="395" spans="1:12">
      <c r="A395" s="10">
        <v>1.09375000000002</v>
      </c>
      <c r="B395" s="9" t="e">
        <f t="shared" si="14"/>
        <v>#N/A</v>
      </c>
      <c r="J395" s="9">
        <v>300</v>
      </c>
      <c r="K395" s="9">
        <v>140</v>
      </c>
      <c r="L395" s="9">
        <v>80</v>
      </c>
    </row>
    <row r="396" spans="1:12">
      <c r="A396" s="10">
        <v>1.1041666666666901</v>
      </c>
      <c r="B396" s="9" t="e">
        <f t="shared" si="14"/>
        <v>#N/A</v>
      </c>
      <c r="J396" s="9">
        <v>300</v>
      </c>
      <c r="K396" s="9">
        <v>140</v>
      </c>
      <c r="L396" s="9">
        <v>80</v>
      </c>
    </row>
    <row r="397" spans="1:12">
      <c r="A397" s="10">
        <v>1.1145833333333599</v>
      </c>
      <c r="B397" s="9" t="e">
        <f t="shared" si="14"/>
        <v>#N/A</v>
      </c>
      <c r="J397" s="9">
        <v>300</v>
      </c>
      <c r="K397" s="9">
        <v>140</v>
      </c>
      <c r="L397" s="9">
        <v>80</v>
      </c>
    </row>
    <row r="398" spans="1:12">
      <c r="A398" s="10">
        <v>1.12500000000002</v>
      </c>
      <c r="B398" s="9" t="e">
        <f t="shared" si="14"/>
        <v>#N/A</v>
      </c>
      <c r="J398" s="9">
        <v>300</v>
      </c>
      <c r="K398" s="9">
        <v>140</v>
      </c>
      <c r="L398" s="9">
        <v>80</v>
      </c>
    </row>
    <row r="399" spans="1:12">
      <c r="A399" s="10">
        <v>1.1354166666666901</v>
      </c>
      <c r="B399" s="9" t="e">
        <f t="shared" si="14"/>
        <v>#N/A</v>
      </c>
      <c r="J399" s="9">
        <v>300</v>
      </c>
      <c r="K399" s="9">
        <v>140</v>
      </c>
      <c r="L399" s="9">
        <v>80</v>
      </c>
    </row>
    <row r="400" spans="1:12">
      <c r="A400" s="10">
        <v>1.1458333333333599</v>
      </c>
      <c r="B400" s="9" t="e">
        <f t="shared" si="14"/>
        <v>#N/A</v>
      </c>
      <c r="J400" s="9">
        <v>300</v>
      </c>
      <c r="K400" s="9">
        <v>140</v>
      </c>
      <c r="L400" s="9">
        <v>80</v>
      </c>
    </row>
    <row r="401" spans="1:12">
      <c r="A401" s="10">
        <v>1.15625000000002</v>
      </c>
      <c r="B401" s="9" t="e">
        <f t="shared" si="14"/>
        <v>#N/A</v>
      </c>
      <c r="J401" s="9">
        <v>300</v>
      </c>
      <c r="K401" s="9">
        <v>140</v>
      </c>
      <c r="L401" s="9">
        <v>80</v>
      </c>
    </row>
    <row r="402" spans="1:12">
      <c r="A402" s="10">
        <v>1.1666666666666901</v>
      </c>
      <c r="B402" s="9" t="e">
        <f t="shared" si="14"/>
        <v>#N/A</v>
      </c>
      <c r="J402" s="9">
        <v>300</v>
      </c>
      <c r="K402" s="9">
        <v>140</v>
      </c>
      <c r="L402" s="9">
        <v>80</v>
      </c>
    </row>
    <row r="403" spans="1:12">
      <c r="A403" s="10">
        <v>1.1770833333333599</v>
      </c>
      <c r="B403" s="9" t="e">
        <f t="shared" si="14"/>
        <v>#N/A</v>
      </c>
      <c r="J403" s="9">
        <v>300</v>
      </c>
      <c r="K403" s="9">
        <v>140</v>
      </c>
      <c r="L403" s="9">
        <v>80</v>
      </c>
    </row>
    <row r="404" spans="1:12">
      <c r="A404" s="10">
        <v>1.18750000000003</v>
      </c>
      <c r="B404" s="9" t="e">
        <f t="shared" si="14"/>
        <v>#N/A</v>
      </c>
      <c r="J404" s="9">
        <v>300</v>
      </c>
      <c r="K404" s="9">
        <v>140</v>
      </c>
      <c r="L404" s="9">
        <v>80</v>
      </c>
    </row>
    <row r="405" spans="1:12">
      <c r="A405" s="10">
        <v>1.1979166666666901</v>
      </c>
      <c r="B405" s="9" t="e">
        <f t="shared" si="14"/>
        <v>#N/A</v>
      </c>
      <c r="J405" s="9">
        <v>300</v>
      </c>
      <c r="K405" s="9">
        <v>140</v>
      </c>
      <c r="L405" s="9">
        <v>80</v>
      </c>
    </row>
    <row r="406" spans="1:12">
      <c r="A406" s="10">
        <v>1.2083333333333599</v>
      </c>
      <c r="B406" s="9" t="e">
        <f t="shared" si="14"/>
        <v>#N/A</v>
      </c>
      <c r="J406" s="9">
        <v>300</v>
      </c>
      <c r="K406" s="9">
        <v>140</v>
      </c>
      <c r="L406" s="9">
        <v>80</v>
      </c>
    </row>
    <row r="407" spans="1:12">
      <c r="A407" s="10">
        <v>1.21875000000003</v>
      </c>
      <c r="B407" s="9" t="e">
        <f t="shared" si="14"/>
        <v>#N/A</v>
      </c>
      <c r="J407" s="9">
        <v>300</v>
      </c>
      <c r="K407" s="9">
        <v>140</v>
      </c>
      <c r="L407" s="9">
        <v>80</v>
      </c>
    </row>
    <row r="408" spans="1:12">
      <c r="A408" s="10">
        <v>1.2291666666666901</v>
      </c>
      <c r="B408" s="9" t="e">
        <f t="shared" si="14"/>
        <v>#N/A</v>
      </c>
      <c r="J408" s="9">
        <v>300</v>
      </c>
      <c r="K408" s="9">
        <v>140</v>
      </c>
      <c r="L408" s="9">
        <v>80</v>
      </c>
    </row>
    <row r="409" spans="1:12">
      <c r="A409" s="10">
        <v>1.2395833333333599</v>
      </c>
      <c r="B409" s="9" t="e">
        <f t="shared" si="14"/>
        <v>#N/A</v>
      </c>
      <c r="J409" s="9">
        <v>300</v>
      </c>
      <c r="K409" s="9">
        <v>140</v>
      </c>
      <c r="L409" s="9">
        <v>80</v>
      </c>
    </row>
    <row r="410" spans="1:12">
      <c r="A410" s="10">
        <v>0.25</v>
      </c>
      <c r="B410" s="9" t="e">
        <f>E2</f>
        <v>#N/A</v>
      </c>
      <c r="J410" s="9">
        <v>300</v>
      </c>
      <c r="K410" s="9">
        <v>140</v>
      </c>
      <c r="L410" s="9">
        <v>80</v>
      </c>
    </row>
    <row r="411" spans="1:12">
      <c r="A411" s="10">
        <v>0.26041666666666669</v>
      </c>
      <c r="B411" s="9" t="e">
        <f t="shared" ref="B411:B474" si="15">E3</f>
        <v>#N/A</v>
      </c>
      <c r="J411" s="9">
        <v>300</v>
      </c>
      <c r="K411" s="9">
        <v>140</v>
      </c>
      <c r="L411" s="9">
        <v>80</v>
      </c>
    </row>
    <row r="412" spans="1:12">
      <c r="A412" s="10">
        <v>0.27083333333333331</v>
      </c>
      <c r="B412" s="9" t="e">
        <f t="shared" si="15"/>
        <v>#N/A</v>
      </c>
      <c r="J412" s="9">
        <v>300</v>
      </c>
      <c r="K412" s="9">
        <v>140</v>
      </c>
      <c r="L412" s="9">
        <v>80</v>
      </c>
    </row>
    <row r="413" spans="1:12">
      <c r="A413" s="10">
        <v>0.28125</v>
      </c>
      <c r="B413" s="9" t="e">
        <f t="shared" si="15"/>
        <v>#N/A</v>
      </c>
      <c r="J413" s="9">
        <v>300</v>
      </c>
      <c r="K413" s="9">
        <v>140</v>
      </c>
      <c r="L413" s="9">
        <v>80</v>
      </c>
    </row>
    <row r="414" spans="1:12">
      <c r="A414" s="10">
        <v>0.29166666666666702</v>
      </c>
      <c r="B414" s="9" t="e">
        <f t="shared" si="15"/>
        <v>#N/A</v>
      </c>
      <c r="J414" s="9">
        <v>300</v>
      </c>
      <c r="K414" s="9">
        <v>140</v>
      </c>
      <c r="L414" s="9">
        <v>80</v>
      </c>
    </row>
    <row r="415" spans="1:12">
      <c r="A415" s="10">
        <v>0.30208333333333298</v>
      </c>
      <c r="B415" s="9" t="e">
        <f t="shared" si="15"/>
        <v>#N/A</v>
      </c>
      <c r="J415" s="9">
        <v>300</v>
      </c>
      <c r="K415" s="9">
        <v>140</v>
      </c>
      <c r="L415" s="9">
        <v>80</v>
      </c>
    </row>
    <row r="416" spans="1:12">
      <c r="A416" s="10">
        <v>0.3125</v>
      </c>
      <c r="B416" s="9" t="e">
        <f t="shared" si="15"/>
        <v>#N/A</v>
      </c>
      <c r="J416" s="9">
        <v>300</v>
      </c>
      <c r="K416" s="9">
        <v>140</v>
      </c>
      <c r="L416" s="9">
        <v>80</v>
      </c>
    </row>
    <row r="417" spans="1:12">
      <c r="A417" s="10">
        <v>0.32291666666666702</v>
      </c>
      <c r="B417" s="9" t="e">
        <f t="shared" si="15"/>
        <v>#N/A</v>
      </c>
      <c r="J417" s="9">
        <v>300</v>
      </c>
      <c r="K417" s="9">
        <v>140</v>
      </c>
      <c r="L417" s="9">
        <v>80</v>
      </c>
    </row>
    <row r="418" spans="1:12">
      <c r="A418" s="10">
        <v>0.33333333333333298</v>
      </c>
      <c r="B418" s="9" t="e">
        <f t="shared" si="15"/>
        <v>#N/A</v>
      </c>
      <c r="J418" s="9">
        <v>300</v>
      </c>
      <c r="K418" s="9">
        <v>140</v>
      </c>
      <c r="L418" s="9">
        <v>80</v>
      </c>
    </row>
    <row r="419" spans="1:12">
      <c r="A419" s="10">
        <v>0.34375</v>
      </c>
      <c r="B419" s="9" t="e">
        <f t="shared" si="15"/>
        <v>#N/A</v>
      </c>
      <c r="J419" s="9">
        <v>300</v>
      </c>
      <c r="K419" s="9">
        <v>140</v>
      </c>
      <c r="L419" s="9">
        <v>80</v>
      </c>
    </row>
    <row r="420" spans="1:12">
      <c r="A420" s="10">
        <v>0.35416666666666702</v>
      </c>
      <c r="B420" s="9" t="e">
        <f t="shared" si="15"/>
        <v>#N/A</v>
      </c>
      <c r="J420" s="9">
        <v>300</v>
      </c>
      <c r="K420" s="9">
        <v>140</v>
      </c>
      <c r="L420" s="9">
        <v>80</v>
      </c>
    </row>
    <row r="421" spans="1:12">
      <c r="A421" s="10">
        <v>0.36458333333333398</v>
      </c>
      <c r="B421" s="9" t="e">
        <f t="shared" si="15"/>
        <v>#N/A</v>
      </c>
      <c r="J421" s="9">
        <v>300</v>
      </c>
      <c r="K421" s="9">
        <v>140</v>
      </c>
      <c r="L421" s="9">
        <v>80</v>
      </c>
    </row>
    <row r="422" spans="1:12">
      <c r="A422" s="10">
        <v>0.375</v>
      </c>
      <c r="B422" s="9" t="e">
        <f t="shared" si="15"/>
        <v>#N/A</v>
      </c>
      <c r="J422" s="9">
        <v>300</v>
      </c>
      <c r="K422" s="9">
        <v>140</v>
      </c>
      <c r="L422" s="9">
        <v>80</v>
      </c>
    </row>
    <row r="423" spans="1:12">
      <c r="A423" s="10">
        <v>0.38541666666666702</v>
      </c>
      <c r="B423" s="9" t="e">
        <f t="shared" si="15"/>
        <v>#N/A</v>
      </c>
      <c r="J423" s="9">
        <v>300</v>
      </c>
      <c r="K423" s="9">
        <v>140</v>
      </c>
      <c r="L423" s="9">
        <v>80</v>
      </c>
    </row>
    <row r="424" spans="1:12">
      <c r="A424" s="10">
        <v>0.39583333333333398</v>
      </c>
      <c r="B424" s="9" t="e">
        <f t="shared" si="15"/>
        <v>#N/A</v>
      </c>
      <c r="J424" s="9">
        <v>300</v>
      </c>
      <c r="K424" s="9">
        <v>140</v>
      </c>
      <c r="L424" s="9">
        <v>80</v>
      </c>
    </row>
    <row r="425" spans="1:12">
      <c r="A425" s="10">
        <v>0.40625</v>
      </c>
      <c r="B425" s="9" t="e">
        <f t="shared" si="15"/>
        <v>#N/A</v>
      </c>
      <c r="J425" s="9">
        <v>300</v>
      </c>
      <c r="K425" s="9">
        <v>140</v>
      </c>
      <c r="L425" s="9">
        <v>80</v>
      </c>
    </row>
    <row r="426" spans="1:12">
      <c r="A426" s="10">
        <v>0.41666666666666702</v>
      </c>
      <c r="B426" s="9" t="e">
        <f t="shared" si="15"/>
        <v>#N/A</v>
      </c>
      <c r="J426" s="9">
        <v>300</v>
      </c>
      <c r="K426" s="9">
        <v>140</v>
      </c>
      <c r="L426" s="9">
        <v>80</v>
      </c>
    </row>
    <row r="427" spans="1:12">
      <c r="A427" s="10">
        <v>0.42708333333333398</v>
      </c>
      <c r="B427" s="9" t="e">
        <f t="shared" si="15"/>
        <v>#N/A</v>
      </c>
      <c r="J427" s="9">
        <v>300</v>
      </c>
      <c r="K427" s="9">
        <v>140</v>
      </c>
      <c r="L427" s="9">
        <v>80</v>
      </c>
    </row>
    <row r="428" spans="1:12">
      <c r="A428" s="10">
        <v>0.4375</v>
      </c>
      <c r="B428" s="9" t="e">
        <f t="shared" si="15"/>
        <v>#N/A</v>
      </c>
      <c r="J428" s="9">
        <v>300</v>
      </c>
      <c r="K428" s="9">
        <v>140</v>
      </c>
      <c r="L428" s="9">
        <v>80</v>
      </c>
    </row>
    <row r="429" spans="1:12">
      <c r="A429" s="10">
        <v>0.44791666666666702</v>
      </c>
      <c r="B429" s="9" t="e">
        <f t="shared" si="15"/>
        <v>#N/A</v>
      </c>
      <c r="J429" s="9">
        <v>300</v>
      </c>
      <c r="K429" s="9">
        <v>140</v>
      </c>
      <c r="L429" s="9">
        <v>80</v>
      </c>
    </row>
    <row r="430" spans="1:12">
      <c r="A430" s="10">
        <v>0.45833333333333398</v>
      </c>
      <c r="B430" s="9" t="e">
        <f t="shared" si="15"/>
        <v>#N/A</v>
      </c>
      <c r="J430" s="9">
        <v>300</v>
      </c>
      <c r="K430" s="9">
        <v>140</v>
      </c>
      <c r="L430" s="9">
        <v>80</v>
      </c>
    </row>
    <row r="431" spans="1:12">
      <c r="A431" s="10">
        <v>0.46875</v>
      </c>
      <c r="B431" s="9" t="e">
        <f t="shared" si="15"/>
        <v>#N/A</v>
      </c>
      <c r="J431" s="9">
        <v>300</v>
      </c>
      <c r="K431" s="9">
        <v>140</v>
      </c>
      <c r="L431" s="9">
        <v>80</v>
      </c>
    </row>
    <row r="432" spans="1:12">
      <c r="A432" s="10">
        <v>0.47916666666666702</v>
      </c>
      <c r="B432" s="9" t="e">
        <f t="shared" si="15"/>
        <v>#N/A</v>
      </c>
      <c r="J432" s="9">
        <v>300</v>
      </c>
      <c r="K432" s="9">
        <v>140</v>
      </c>
      <c r="L432" s="9">
        <v>80</v>
      </c>
    </row>
    <row r="433" spans="1:12">
      <c r="A433" s="10">
        <v>0.48958333333333398</v>
      </c>
      <c r="B433" s="9" t="e">
        <f t="shared" si="15"/>
        <v>#N/A</v>
      </c>
      <c r="J433" s="9">
        <v>300</v>
      </c>
      <c r="K433" s="9">
        <v>140</v>
      </c>
      <c r="L433" s="9">
        <v>80</v>
      </c>
    </row>
    <row r="434" spans="1:12">
      <c r="A434" s="10">
        <v>0.5</v>
      </c>
      <c r="B434" s="9" t="e">
        <f t="shared" si="15"/>
        <v>#N/A</v>
      </c>
      <c r="J434" s="9">
        <v>300</v>
      </c>
      <c r="K434" s="9">
        <v>140</v>
      </c>
      <c r="L434" s="9">
        <v>80</v>
      </c>
    </row>
    <row r="435" spans="1:12">
      <c r="A435" s="10">
        <v>0.51041666666666696</v>
      </c>
      <c r="B435" s="9" t="e">
        <f t="shared" si="15"/>
        <v>#N/A</v>
      </c>
      <c r="J435" s="9">
        <v>300</v>
      </c>
      <c r="K435" s="9">
        <v>140</v>
      </c>
      <c r="L435" s="9">
        <v>80</v>
      </c>
    </row>
    <row r="436" spans="1:12">
      <c r="A436" s="10">
        <v>0.52083333333333404</v>
      </c>
      <c r="B436" s="9" t="e">
        <f t="shared" si="15"/>
        <v>#N/A</v>
      </c>
      <c r="J436" s="9">
        <v>300</v>
      </c>
      <c r="K436" s="9">
        <v>140</v>
      </c>
      <c r="L436" s="9">
        <v>80</v>
      </c>
    </row>
    <row r="437" spans="1:12">
      <c r="A437" s="10">
        <v>0.53125</v>
      </c>
      <c r="B437" s="9" t="e">
        <f t="shared" si="15"/>
        <v>#N/A</v>
      </c>
      <c r="J437" s="9">
        <v>300</v>
      </c>
      <c r="K437" s="9">
        <v>140</v>
      </c>
      <c r="L437" s="9">
        <v>80</v>
      </c>
    </row>
    <row r="438" spans="1:12">
      <c r="A438" s="10">
        <v>0.54166666666666696</v>
      </c>
      <c r="B438" s="9" t="e">
        <f t="shared" si="15"/>
        <v>#N/A</v>
      </c>
      <c r="J438" s="9">
        <v>300</v>
      </c>
      <c r="K438" s="9">
        <v>140</v>
      </c>
      <c r="L438" s="9">
        <v>80</v>
      </c>
    </row>
    <row r="439" spans="1:12">
      <c r="A439" s="10">
        <v>0.55208333333333404</v>
      </c>
      <c r="B439" s="9" t="e">
        <f t="shared" si="15"/>
        <v>#N/A</v>
      </c>
      <c r="J439" s="9">
        <v>300</v>
      </c>
      <c r="K439" s="9">
        <v>140</v>
      </c>
      <c r="L439" s="9">
        <v>80</v>
      </c>
    </row>
    <row r="440" spans="1:12">
      <c r="A440" s="10">
        <v>0.562500000000001</v>
      </c>
      <c r="B440" s="9" t="e">
        <f t="shared" si="15"/>
        <v>#N/A</v>
      </c>
      <c r="J440" s="9">
        <v>300</v>
      </c>
      <c r="K440" s="9">
        <v>140</v>
      </c>
      <c r="L440" s="9">
        <v>80</v>
      </c>
    </row>
    <row r="441" spans="1:12">
      <c r="A441" s="10">
        <v>0.57291666666666696</v>
      </c>
      <c r="B441" s="9" t="e">
        <f t="shared" si="15"/>
        <v>#N/A</v>
      </c>
      <c r="J441" s="9">
        <v>300</v>
      </c>
      <c r="K441" s="9">
        <v>140</v>
      </c>
      <c r="L441" s="9">
        <v>80</v>
      </c>
    </row>
    <row r="442" spans="1:12">
      <c r="A442" s="10">
        <v>0.58333333333333504</v>
      </c>
      <c r="B442" s="9" t="e">
        <f t="shared" si="15"/>
        <v>#N/A</v>
      </c>
      <c r="J442" s="9">
        <v>300</v>
      </c>
      <c r="K442" s="9">
        <v>140</v>
      </c>
      <c r="L442" s="9">
        <v>80</v>
      </c>
    </row>
    <row r="443" spans="1:12">
      <c r="A443" s="10">
        <v>0.593750000000002</v>
      </c>
      <c r="B443" s="9" t="e">
        <f t="shared" si="15"/>
        <v>#N/A</v>
      </c>
      <c r="J443" s="9">
        <v>300</v>
      </c>
      <c r="K443" s="9">
        <v>140</v>
      </c>
      <c r="L443" s="9">
        <v>80</v>
      </c>
    </row>
    <row r="444" spans="1:12">
      <c r="A444" s="10">
        <v>0.60416666666666896</v>
      </c>
      <c r="B444" s="9" t="e">
        <f t="shared" si="15"/>
        <v>#N/A</v>
      </c>
      <c r="J444" s="9">
        <v>300</v>
      </c>
      <c r="K444" s="9">
        <v>140</v>
      </c>
      <c r="L444" s="9">
        <v>80</v>
      </c>
    </row>
    <row r="445" spans="1:12">
      <c r="A445" s="10">
        <v>0.61458333333333603</v>
      </c>
      <c r="B445" s="9" t="e">
        <f t="shared" si="15"/>
        <v>#N/A</v>
      </c>
      <c r="J445" s="9">
        <v>300</v>
      </c>
      <c r="K445" s="9">
        <v>140</v>
      </c>
      <c r="L445" s="9">
        <v>80</v>
      </c>
    </row>
    <row r="446" spans="1:12">
      <c r="A446" s="10">
        <v>0.625000000000004</v>
      </c>
      <c r="B446" s="9" t="e">
        <f t="shared" si="15"/>
        <v>#N/A</v>
      </c>
      <c r="J446" s="9">
        <v>300</v>
      </c>
      <c r="K446" s="9">
        <v>140</v>
      </c>
      <c r="L446" s="9">
        <v>80</v>
      </c>
    </row>
    <row r="447" spans="1:12">
      <c r="A447" s="10">
        <v>0.63541666666667096</v>
      </c>
      <c r="B447" s="9" t="e">
        <f t="shared" si="15"/>
        <v>#N/A</v>
      </c>
      <c r="J447" s="9">
        <v>300</v>
      </c>
      <c r="K447" s="9">
        <v>140</v>
      </c>
      <c r="L447" s="9">
        <v>80</v>
      </c>
    </row>
    <row r="448" spans="1:12">
      <c r="A448" s="10">
        <v>0.64583333333333803</v>
      </c>
      <c r="B448" s="9" t="e">
        <f t="shared" si="15"/>
        <v>#N/A</v>
      </c>
      <c r="J448" s="9">
        <v>300</v>
      </c>
      <c r="K448" s="9">
        <v>140</v>
      </c>
      <c r="L448" s="9">
        <v>80</v>
      </c>
    </row>
    <row r="449" spans="1:12">
      <c r="A449" s="10">
        <v>0.656250000000005</v>
      </c>
      <c r="B449" s="9" t="e">
        <f t="shared" si="15"/>
        <v>#N/A</v>
      </c>
      <c r="J449" s="9">
        <v>300</v>
      </c>
      <c r="K449" s="9">
        <v>140</v>
      </c>
      <c r="L449" s="9">
        <v>80</v>
      </c>
    </row>
    <row r="450" spans="1:12">
      <c r="A450" s="10">
        <v>0.66666666666667196</v>
      </c>
      <c r="B450" s="9" t="e">
        <f t="shared" si="15"/>
        <v>#N/A</v>
      </c>
      <c r="J450" s="9">
        <v>300</v>
      </c>
      <c r="K450" s="9">
        <v>140</v>
      </c>
      <c r="L450" s="9">
        <v>80</v>
      </c>
    </row>
    <row r="451" spans="1:12">
      <c r="A451" s="10">
        <v>0.67708333333333903</v>
      </c>
      <c r="B451" s="9" t="e">
        <f t="shared" si="15"/>
        <v>#N/A</v>
      </c>
      <c r="J451" s="9">
        <v>300</v>
      </c>
      <c r="K451" s="9">
        <v>140</v>
      </c>
      <c r="L451" s="9">
        <v>80</v>
      </c>
    </row>
    <row r="452" spans="1:12">
      <c r="A452" s="10">
        <v>0.687500000000006</v>
      </c>
      <c r="B452" s="9" t="e">
        <f t="shared" si="15"/>
        <v>#N/A</v>
      </c>
      <c r="J452" s="9">
        <v>300</v>
      </c>
      <c r="K452" s="9">
        <v>140</v>
      </c>
      <c r="L452" s="9">
        <v>80</v>
      </c>
    </row>
    <row r="453" spans="1:12">
      <c r="A453" s="10">
        <v>0.69791666666667296</v>
      </c>
      <c r="B453" s="9" t="e">
        <f t="shared" si="15"/>
        <v>#N/A</v>
      </c>
      <c r="J453" s="9">
        <v>300</v>
      </c>
      <c r="K453" s="9">
        <v>140</v>
      </c>
      <c r="L453" s="9">
        <v>80</v>
      </c>
    </row>
    <row r="454" spans="1:12">
      <c r="A454" s="10">
        <v>0.70833333333334003</v>
      </c>
      <c r="B454" s="9" t="e">
        <f t="shared" si="15"/>
        <v>#N/A</v>
      </c>
      <c r="J454" s="9">
        <v>300</v>
      </c>
      <c r="K454" s="9">
        <v>140</v>
      </c>
      <c r="L454" s="9">
        <v>80</v>
      </c>
    </row>
    <row r="455" spans="1:12">
      <c r="A455" s="10">
        <v>0.71875000000000699</v>
      </c>
      <c r="B455" s="9" t="e">
        <f t="shared" si="15"/>
        <v>#N/A</v>
      </c>
      <c r="J455" s="9">
        <v>300</v>
      </c>
      <c r="K455" s="9">
        <v>140</v>
      </c>
      <c r="L455" s="9">
        <v>80</v>
      </c>
    </row>
    <row r="456" spans="1:12">
      <c r="A456" s="10">
        <v>0.72916666666667396</v>
      </c>
      <c r="B456" s="9" t="e">
        <f t="shared" si="15"/>
        <v>#N/A</v>
      </c>
      <c r="J456" s="9">
        <v>300</v>
      </c>
      <c r="K456" s="9">
        <v>140</v>
      </c>
      <c r="L456" s="9">
        <v>80</v>
      </c>
    </row>
    <row r="457" spans="1:12">
      <c r="A457" s="10">
        <v>0.73958333333334103</v>
      </c>
      <c r="B457" s="9" t="e">
        <f t="shared" si="15"/>
        <v>#N/A</v>
      </c>
      <c r="J457" s="9">
        <v>300</v>
      </c>
      <c r="K457" s="9">
        <v>140</v>
      </c>
      <c r="L457" s="9">
        <v>80</v>
      </c>
    </row>
    <row r="458" spans="1:12">
      <c r="A458" s="10">
        <v>0.75000000000000799</v>
      </c>
      <c r="B458" s="9" t="e">
        <f t="shared" si="15"/>
        <v>#N/A</v>
      </c>
      <c r="J458" s="9">
        <v>300</v>
      </c>
      <c r="K458" s="9">
        <v>140</v>
      </c>
      <c r="L458" s="9">
        <v>80</v>
      </c>
    </row>
    <row r="459" spans="1:12">
      <c r="A459" s="10">
        <v>0.76041666666667596</v>
      </c>
      <c r="B459" s="9" t="e">
        <f t="shared" si="15"/>
        <v>#N/A</v>
      </c>
      <c r="J459" s="9">
        <v>300</v>
      </c>
      <c r="K459" s="9">
        <v>140</v>
      </c>
      <c r="L459" s="9">
        <v>80</v>
      </c>
    </row>
    <row r="460" spans="1:12">
      <c r="A460" s="10">
        <v>0.77083333333334303</v>
      </c>
      <c r="B460" s="9" t="e">
        <f t="shared" si="15"/>
        <v>#N/A</v>
      </c>
      <c r="J460" s="9">
        <v>300</v>
      </c>
      <c r="K460" s="9">
        <v>140</v>
      </c>
      <c r="L460" s="9">
        <v>80</v>
      </c>
    </row>
    <row r="461" spans="1:12">
      <c r="A461" s="10">
        <v>0.78125000000000999</v>
      </c>
      <c r="B461" s="9" t="e">
        <f t="shared" si="15"/>
        <v>#N/A</v>
      </c>
      <c r="J461" s="9">
        <v>300</v>
      </c>
      <c r="K461" s="9">
        <v>140</v>
      </c>
      <c r="L461" s="9">
        <v>80</v>
      </c>
    </row>
    <row r="462" spans="1:12">
      <c r="A462" s="10">
        <v>0.79166666666667695</v>
      </c>
      <c r="B462" s="9" t="e">
        <f t="shared" si="15"/>
        <v>#N/A</v>
      </c>
      <c r="J462" s="9">
        <v>300</v>
      </c>
      <c r="K462" s="9">
        <v>140</v>
      </c>
      <c r="L462" s="9">
        <v>80</v>
      </c>
    </row>
    <row r="463" spans="1:12">
      <c r="A463" s="10">
        <v>0.80208333333334403</v>
      </c>
      <c r="B463" s="9" t="e">
        <f t="shared" si="15"/>
        <v>#N/A</v>
      </c>
      <c r="J463" s="9">
        <v>300</v>
      </c>
      <c r="K463" s="9">
        <v>140</v>
      </c>
      <c r="L463" s="9">
        <v>80</v>
      </c>
    </row>
    <row r="464" spans="1:12">
      <c r="A464" s="10">
        <v>0.81250000000001099</v>
      </c>
      <c r="B464" s="9" t="e">
        <f t="shared" si="15"/>
        <v>#N/A</v>
      </c>
      <c r="J464" s="9">
        <v>300</v>
      </c>
      <c r="K464" s="9">
        <v>140</v>
      </c>
      <c r="L464" s="9">
        <v>80</v>
      </c>
    </row>
    <row r="465" spans="1:12">
      <c r="A465" s="10">
        <v>0.82291666666667795</v>
      </c>
      <c r="B465" s="9" t="e">
        <f t="shared" si="15"/>
        <v>#N/A</v>
      </c>
      <c r="J465" s="9">
        <v>300</v>
      </c>
      <c r="K465" s="9">
        <v>140</v>
      </c>
      <c r="L465" s="9">
        <v>80</v>
      </c>
    </row>
    <row r="466" spans="1:12">
      <c r="A466" s="10">
        <v>0.83333333333334503</v>
      </c>
      <c r="B466" s="9" t="e">
        <f t="shared" si="15"/>
        <v>#N/A</v>
      </c>
      <c r="J466" s="9">
        <v>300</v>
      </c>
      <c r="K466" s="9">
        <v>140</v>
      </c>
      <c r="L466" s="9">
        <v>80</v>
      </c>
    </row>
    <row r="467" spans="1:12">
      <c r="A467" s="10">
        <v>0.84375000000001199</v>
      </c>
      <c r="B467" s="9" t="e">
        <f t="shared" si="15"/>
        <v>#N/A</v>
      </c>
      <c r="J467" s="9">
        <v>300</v>
      </c>
      <c r="K467" s="9">
        <v>140</v>
      </c>
      <c r="L467" s="9">
        <v>80</v>
      </c>
    </row>
    <row r="468" spans="1:12">
      <c r="A468" s="10">
        <v>0.85416666666667895</v>
      </c>
      <c r="B468" s="9" t="e">
        <f t="shared" si="15"/>
        <v>#N/A</v>
      </c>
      <c r="J468" s="9">
        <v>300</v>
      </c>
      <c r="K468" s="9">
        <v>140</v>
      </c>
      <c r="L468" s="9">
        <v>80</v>
      </c>
    </row>
    <row r="469" spans="1:12">
      <c r="A469" s="10">
        <v>0.86458333333334603</v>
      </c>
      <c r="B469" s="9" t="e">
        <f t="shared" si="15"/>
        <v>#N/A</v>
      </c>
      <c r="J469" s="9">
        <v>300</v>
      </c>
      <c r="K469" s="9">
        <v>140</v>
      </c>
      <c r="L469" s="9">
        <v>80</v>
      </c>
    </row>
    <row r="470" spans="1:12">
      <c r="A470" s="10">
        <v>0.87500000000001299</v>
      </c>
      <c r="B470" s="9" t="e">
        <f t="shared" si="15"/>
        <v>#N/A</v>
      </c>
      <c r="J470" s="9">
        <v>300</v>
      </c>
      <c r="K470" s="9">
        <v>140</v>
      </c>
      <c r="L470" s="9">
        <v>80</v>
      </c>
    </row>
    <row r="471" spans="1:12">
      <c r="A471" s="10">
        <v>0.88541666666667995</v>
      </c>
      <c r="B471" s="9" t="e">
        <f t="shared" si="15"/>
        <v>#N/A</v>
      </c>
      <c r="J471" s="9">
        <v>300</v>
      </c>
      <c r="K471" s="9">
        <v>140</v>
      </c>
      <c r="L471" s="9">
        <v>80</v>
      </c>
    </row>
    <row r="472" spans="1:12">
      <c r="A472" s="10">
        <v>0.89583333333334803</v>
      </c>
      <c r="B472" s="9" t="e">
        <f t="shared" si="15"/>
        <v>#N/A</v>
      </c>
      <c r="J472" s="9">
        <v>300</v>
      </c>
      <c r="K472" s="9">
        <v>140</v>
      </c>
      <c r="L472" s="9">
        <v>80</v>
      </c>
    </row>
    <row r="473" spans="1:12">
      <c r="A473" s="10">
        <v>0.90625000000001499</v>
      </c>
      <c r="B473" s="9" t="e">
        <f t="shared" si="15"/>
        <v>#N/A</v>
      </c>
      <c r="J473" s="9">
        <v>300</v>
      </c>
      <c r="K473" s="9">
        <v>140</v>
      </c>
      <c r="L473" s="9">
        <v>80</v>
      </c>
    </row>
    <row r="474" spans="1:12">
      <c r="A474" s="10">
        <v>0.91666666666668195</v>
      </c>
      <c r="B474" s="9" t="e">
        <f t="shared" si="15"/>
        <v>#N/A</v>
      </c>
      <c r="J474" s="9">
        <v>300</v>
      </c>
      <c r="K474" s="9">
        <v>140</v>
      </c>
      <c r="L474" s="9">
        <v>80</v>
      </c>
    </row>
    <row r="475" spans="1:12">
      <c r="A475" s="10">
        <v>0.92708333333334902</v>
      </c>
      <c r="B475" s="9" t="e">
        <f t="shared" ref="B475:B505" si="16">E67</f>
        <v>#N/A</v>
      </c>
      <c r="J475" s="9">
        <v>300</v>
      </c>
      <c r="K475" s="9">
        <v>140</v>
      </c>
      <c r="L475" s="9">
        <v>80</v>
      </c>
    </row>
    <row r="476" spans="1:12">
      <c r="A476" s="10">
        <v>0.93750000000001599</v>
      </c>
      <c r="B476" s="9" t="e">
        <f t="shared" si="16"/>
        <v>#N/A</v>
      </c>
      <c r="J476" s="9">
        <v>300</v>
      </c>
      <c r="K476" s="9">
        <v>140</v>
      </c>
      <c r="L476" s="9">
        <v>80</v>
      </c>
    </row>
    <row r="477" spans="1:12">
      <c r="A477" s="10">
        <v>0.94791666666668295</v>
      </c>
      <c r="B477" s="9" t="e">
        <f t="shared" si="16"/>
        <v>#N/A</v>
      </c>
      <c r="J477" s="9">
        <v>300</v>
      </c>
      <c r="K477" s="9">
        <v>140</v>
      </c>
      <c r="L477" s="9">
        <v>80</v>
      </c>
    </row>
    <row r="478" spans="1:12">
      <c r="A478" s="10">
        <v>0.95833333333335002</v>
      </c>
      <c r="B478" s="9" t="e">
        <f t="shared" si="16"/>
        <v>#N/A</v>
      </c>
      <c r="J478" s="9">
        <v>300</v>
      </c>
      <c r="K478" s="9">
        <v>140</v>
      </c>
      <c r="L478" s="9">
        <v>80</v>
      </c>
    </row>
    <row r="479" spans="1:12">
      <c r="A479" s="10">
        <v>0.96875000000001699</v>
      </c>
      <c r="B479" s="9" t="e">
        <f t="shared" si="16"/>
        <v>#N/A</v>
      </c>
      <c r="J479" s="9">
        <v>300</v>
      </c>
      <c r="K479" s="9">
        <v>140</v>
      </c>
      <c r="L479" s="9">
        <v>80</v>
      </c>
    </row>
    <row r="480" spans="1:12">
      <c r="A480" s="10">
        <v>0.97916666666668395</v>
      </c>
      <c r="B480" s="9" t="e">
        <f t="shared" si="16"/>
        <v>#N/A</v>
      </c>
      <c r="J480" s="9">
        <v>300</v>
      </c>
      <c r="K480" s="9">
        <v>140</v>
      </c>
      <c r="L480" s="9">
        <v>80</v>
      </c>
    </row>
    <row r="481" spans="1:12">
      <c r="A481" s="10">
        <v>0.98958333333335102</v>
      </c>
      <c r="B481" s="9" t="e">
        <f t="shared" si="16"/>
        <v>#N/A</v>
      </c>
      <c r="J481" s="9">
        <v>300</v>
      </c>
      <c r="K481" s="9">
        <v>140</v>
      </c>
      <c r="L481" s="9">
        <v>80</v>
      </c>
    </row>
    <row r="482" spans="1:12">
      <c r="A482" s="10">
        <v>1.00000000000002</v>
      </c>
      <c r="B482" s="9" t="e">
        <f t="shared" si="16"/>
        <v>#N/A</v>
      </c>
      <c r="J482" s="9">
        <v>300</v>
      </c>
      <c r="K482" s="9">
        <v>140</v>
      </c>
      <c r="L482" s="9">
        <v>80</v>
      </c>
    </row>
    <row r="483" spans="1:12">
      <c r="A483" s="10">
        <v>1.0104166666666801</v>
      </c>
      <c r="B483" s="9" t="e">
        <f t="shared" si="16"/>
        <v>#N/A</v>
      </c>
      <c r="J483" s="9">
        <v>300</v>
      </c>
      <c r="K483" s="9">
        <v>140</v>
      </c>
      <c r="L483" s="9">
        <v>80</v>
      </c>
    </row>
    <row r="484" spans="1:12">
      <c r="A484" s="10">
        <v>1.0208333333333499</v>
      </c>
      <c r="B484" s="9" t="e">
        <f t="shared" si="16"/>
        <v>#N/A</v>
      </c>
      <c r="J484" s="9">
        <v>300</v>
      </c>
      <c r="K484" s="9">
        <v>140</v>
      </c>
      <c r="L484" s="9">
        <v>80</v>
      </c>
    </row>
    <row r="485" spans="1:12">
      <c r="A485" s="10">
        <v>1.03125000000002</v>
      </c>
      <c r="B485" s="9" t="e">
        <f t="shared" si="16"/>
        <v>#N/A</v>
      </c>
      <c r="J485" s="9">
        <v>300</v>
      </c>
      <c r="K485" s="9">
        <v>140</v>
      </c>
      <c r="L485" s="9">
        <v>80</v>
      </c>
    </row>
    <row r="486" spans="1:12">
      <c r="A486" s="10">
        <v>1.0416666666666901</v>
      </c>
      <c r="B486" s="9" t="e">
        <f t="shared" si="16"/>
        <v>#N/A</v>
      </c>
      <c r="J486" s="9">
        <v>300</v>
      </c>
      <c r="K486" s="9">
        <v>140</v>
      </c>
      <c r="L486" s="9">
        <v>80</v>
      </c>
    </row>
    <row r="487" spans="1:12">
      <c r="A487" s="10">
        <v>1.0520833333333499</v>
      </c>
      <c r="B487" s="9" t="e">
        <f t="shared" si="16"/>
        <v>#N/A</v>
      </c>
      <c r="J487" s="9">
        <v>300</v>
      </c>
      <c r="K487" s="9">
        <v>140</v>
      </c>
      <c r="L487" s="9">
        <v>80</v>
      </c>
    </row>
    <row r="488" spans="1:12">
      <c r="A488" s="10">
        <v>1.06250000000002</v>
      </c>
      <c r="B488" s="9" t="e">
        <f t="shared" si="16"/>
        <v>#N/A</v>
      </c>
      <c r="J488" s="9">
        <v>300</v>
      </c>
      <c r="K488" s="9">
        <v>140</v>
      </c>
      <c r="L488" s="9">
        <v>80</v>
      </c>
    </row>
    <row r="489" spans="1:12">
      <c r="A489" s="10">
        <v>1.0729166666666901</v>
      </c>
      <c r="B489" s="9" t="e">
        <f t="shared" si="16"/>
        <v>#N/A</v>
      </c>
      <c r="J489" s="9">
        <v>300</v>
      </c>
      <c r="K489" s="9">
        <v>140</v>
      </c>
      <c r="L489" s="9">
        <v>80</v>
      </c>
    </row>
    <row r="490" spans="1:12">
      <c r="A490" s="10">
        <v>1.0833333333333499</v>
      </c>
      <c r="B490" s="9" t="e">
        <f t="shared" si="16"/>
        <v>#N/A</v>
      </c>
      <c r="J490" s="9">
        <v>300</v>
      </c>
      <c r="K490" s="9">
        <v>140</v>
      </c>
      <c r="L490" s="9">
        <v>80</v>
      </c>
    </row>
    <row r="491" spans="1:12">
      <c r="A491" s="10">
        <v>1.09375000000002</v>
      </c>
      <c r="B491" s="9" t="e">
        <f t="shared" si="16"/>
        <v>#N/A</v>
      </c>
      <c r="J491" s="9">
        <v>300</v>
      </c>
      <c r="K491" s="9">
        <v>140</v>
      </c>
      <c r="L491" s="9">
        <v>80</v>
      </c>
    </row>
    <row r="492" spans="1:12">
      <c r="A492" s="10">
        <v>1.1041666666666901</v>
      </c>
      <c r="B492" s="9" t="e">
        <f t="shared" si="16"/>
        <v>#N/A</v>
      </c>
      <c r="J492" s="9">
        <v>300</v>
      </c>
      <c r="K492" s="9">
        <v>140</v>
      </c>
      <c r="L492" s="9">
        <v>80</v>
      </c>
    </row>
    <row r="493" spans="1:12">
      <c r="A493" s="10">
        <v>1.1145833333333599</v>
      </c>
      <c r="B493" s="9" t="e">
        <f t="shared" si="16"/>
        <v>#N/A</v>
      </c>
      <c r="J493" s="9">
        <v>300</v>
      </c>
      <c r="K493" s="9">
        <v>140</v>
      </c>
      <c r="L493" s="9">
        <v>80</v>
      </c>
    </row>
    <row r="494" spans="1:12">
      <c r="A494" s="10">
        <v>1.12500000000002</v>
      </c>
      <c r="B494" s="9" t="e">
        <f t="shared" si="16"/>
        <v>#N/A</v>
      </c>
      <c r="J494" s="9">
        <v>300</v>
      </c>
      <c r="K494" s="9">
        <v>140</v>
      </c>
      <c r="L494" s="9">
        <v>80</v>
      </c>
    </row>
    <row r="495" spans="1:12">
      <c r="A495" s="10">
        <v>1.1354166666666901</v>
      </c>
      <c r="B495" s="9" t="e">
        <f t="shared" si="16"/>
        <v>#N/A</v>
      </c>
      <c r="J495" s="9">
        <v>300</v>
      </c>
      <c r="K495" s="9">
        <v>140</v>
      </c>
      <c r="L495" s="9">
        <v>80</v>
      </c>
    </row>
    <row r="496" spans="1:12">
      <c r="A496" s="10">
        <v>1.1458333333333599</v>
      </c>
      <c r="B496" s="9" t="e">
        <f t="shared" si="16"/>
        <v>#N/A</v>
      </c>
      <c r="J496" s="9">
        <v>300</v>
      </c>
      <c r="K496" s="9">
        <v>140</v>
      </c>
      <c r="L496" s="9">
        <v>80</v>
      </c>
    </row>
    <row r="497" spans="1:12">
      <c r="A497" s="10">
        <v>1.15625000000002</v>
      </c>
      <c r="B497" s="9" t="e">
        <f t="shared" si="16"/>
        <v>#N/A</v>
      </c>
      <c r="J497" s="9">
        <v>300</v>
      </c>
      <c r="K497" s="9">
        <v>140</v>
      </c>
      <c r="L497" s="9">
        <v>80</v>
      </c>
    </row>
    <row r="498" spans="1:12">
      <c r="A498" s="10">
        <v>1.1666666666666901</v>
      </c>
      <c r="B498" s="9" t="e">
        <f t="shared" si="16"/>
        <v>#N/A</v>
      </c>
      <c r="J498" s="9">
        <v>300</v>
      </c>
      <c r="K498" s="9">
        <v>140</v>
      </c>
      <c r="L498" s="9">
        <v>80</v>
      </c>
    </row>
    <row r="499" spans="1:12">
      <c r="A499" s="10">
        <v>1.1770833333333599</v>
      </c>
      <c r="B499" s="9" t="e">
        <f t="shared" si="16"/>
        <v>#N/A</v>
      </c>
      <c r="J499" s="9">
        <v>300</v>
      </c>
      <c r="K499" s="9">
        <v>140</v>
      </c>
      <c r="L499" s="9">
        <v>80</v>
      </c>
    </row>
    <row r="500" spans="1:12">
      <c r="A500" s="10">
        <v>1.18750000000003</v>
      </c>
      <c r="B500" s="9" t="e">
        <f t="shared" si="16"/>
        <v>#N/A</v>
      </c>
      <c r="J500" s="9">
        <v>300</v>
      </c>
      <c r="K500" s="9">
        <v>140</v>
      </c>
      <c r="L500" s="9">
        <v>80</v>
      </c>
    </row>
    <row r="501" spans="1:12">
      <c r="A501" s="10">
        <v>1.1979166666666901</v>
      </c>
      <c r="B501" s="9" t="e">
        <f t="shared" si="16"/>
        <v>#N/A</v>
      </c>
      <c r="J501" s="9">
        <v>300</v>
      </c>
      <c r="K501" s="9">
        <v>140</v>
      </c>
      <c r="L501" s="9">
        <v>80</v>
      </c>
    </row>
    <row r="502" spans="1:12">
      <c r="A502" s="10">
        <v>1.2083333333333599</v>
      </c>
      <c r="B502" s="9" t="e">
        <f t="shared" si="16"/>
        <v>#N/A</v>
      </c>
      <c r="J502" s="9">
        <v>300</v>
      </c>
      <c r="K502" s="9">
        <v>140</v>
      </c>
      <c r="L502" s="9">
        <v>80</v>
      </c>
    </row>
    <row r="503" spans="1:12">
      <c r="A503" s="10">
        <v>1.21875000000003</v>
      </c>
      <c r="B503" s="9" t="e">
        <f t="shared" si="16"/>
        <v>#N/A</v>
      </c>
      <c r="J503" s="9">
        <v>300</v>
      </c>
      <c r="K503" s="9">
        <v>140</v>
      </c>
      <c r="L503" s="9">
        <v>80</v>
      </c>
    </row>
    <row r="504" spans="1:12">
      <c r="A504" s="10">
        <v>1.2291666666666901</v>
      </c>
      <c r="B504" s="9" t="e">
        <f t="shared" si="16"/>
        <v>#N/A</v>
      </c>
      <c r="J504" s="9">
        <v>300</v>
      </c>
      <c r="K504" s="9">
        <v>140</v>
      </c>
      <c r="L504" s="9">
        <v>80</v>
      </c>
    </row>
    <row r="505" spans="1:12">
      <c r="A505" s="10">
        <v>1.2395833333333599</v>
      </c>
      <c r="B505" s="9" t="e">
        <f t="shared" si="16"/>
        <v>#N/A</v>
      </c>
      <c r="J505" s="9">
        <v>300</v>
      </c>
      <c r="K505" s="9">
        <v>140</v>
      </c>
      <c r="L505" s="9">
        <v>80</v>
      </c>
    </row>
    <row r="506" spans="1:12">
      <c r="A506" s="10">
        <v>0.25</v>
      </c>
      <c r="B506" s="9" t="e">
        <f>F2</f>
        <v>#N/A</v>
      </c>
      <c r="J506" s="9">
        <v>300</v>
      </c>
      <c r="K506" s="9">
        <v>140</v>
      </c>
      <c r="L506" s="9">
        <v>80</v>
      </c>
    </row>
    <row r="507" spans="1:12">
      <c r="A507" s="10">
        <v>0.26041666666666669</v>
      </c>
      <c r="B507" s="9" t="e">
        <f t="shared" ref="B507:B570" si="17">F3</f>
        <v>#N/A</v>
      </c>
      <c r="J507" s="9">
        <v>300</v>
      </c>
      <c r="K507" s="9">
        <v>140</v>
      </c>
      <c r="L507" s="9">
        <v>80</v>
      </c>
    </row>
    <row r="508" spans="1:12">
      <c r="A508" s="10">
        <v>0.27083333333333331</v>
      </c>
      <c r="B508" s="9" t="e">
        <f t="shared" si="17"/>
        <v>#N/A</v>
      </c>
      <c r="J508" s="9">
        <v>300</v>
      </c>
      <c r="K508" s="9">
        <v>140</v>
      </c>
      <c r="L508" s="9">
        <v>80</v>
      </c>
    </row>
    <row r="509" spans="1:12">
      <c r="A509" s="10">
        <v>0.28125</v>
      </c>
      <c r="B509" s="9" t="e">
        <f t="shared" si="17"/>
        <v>#N/A</v>
      </c>
      <c r="J509" s="9">
        <v>300</v>
      </c>
      <c r="K509" s="9">
        <v>140</v>
      </c>
      <c r="L509" s="9">
        <v>80</v>
      </c>
    </row>
    <row r="510" spans="1:12">
      <c r="A510" s="10">
        <v>0.29166666666666702</v>
      </c>
      <c r="B510" s="9" t="e">
        <f t="shared" si="17"/>
        <v>#N/A</v>
      </c>
      <c r="J510" s="9">
        <v>300</v>
      </c>
      <c r="K510" s="9">
        <v>140</v>
      </c>
      <c r="L510" s="9">
        <v>80</v>
      </c>
    </row>
    <row r="511" spans="1:12">
      <c r="A511" s="10">
        <v>0.30208333333333298</v>
      </c>
      <c r="B511" s="9" t="e">
        <f t="shared" si="17"/>
        <v>#N/A</v>
      </c>
      <c r="J511" s="9">
        <v>300</v>
      </c>
      <c r="K511" s="9">
        <v>140</v>
      </c>
      <c r="L511" s="9">
        <v>80</v>
      </c>
    </row>
    <row r="512" spans="1:12">
      <c r="A512" s="10">
        <v>0.3125</v>
      </c>
      <c r="B512" s="9" t="e">
        <f t="shared" si="17"/>
        <v>#N/A</v>
      </c>
      <c r="J512" s="9">
        <v>300</v>
      </c>
      <c r="K512" s="9">
        <v>140</v>
      </c>
      <c r="L512" s="9">
        <v>80</v>
      </c>
    </row>
    <row r="513" spans="1:12">
      <c r="A513" s="10">
        <v>0.32291666666666702</v>
      </c>
      <c r="B513" s="9" t="e">
        <f t="shared" si="17"/>
        <v>#N/A</v>
      </c>
      <c r="J513" s="9">
        <v>300</v>
      </c>
      <c r="K513" s="9">
        <v>140</v>
      </c>
      <c r="L513" s="9">
        <v>80</v>
      </c>
    </row>
    <row r="514" spans="1:12">
      <c r="A514" s="10">
        <v>0.33333333333333298</v>
      </c>
      <c r="B514" s="9" t="e">
        <f t="shared" si="17"/>
        <v>#N/A</v>
      </c>
      <c r="J514" s="9">
        <v>300</v>
      </c>
      <c r="K514" s="9">
        <v>140</v>
      </c>
      <c r="L514" s="9">
        <v>80</v>
      </c>
    </row>
    <row r="515" spans="1:12">
      <c r="A515" s="10">
        <v>0.34375</v>
      </c>
      <c r="B515" s="9" t="e">
        <f t="shared" si="17"/>
        <v>#N/A</v>
      </c>
      <c r="J515" s="9">
        <v>300</v>
      </c>
      <c r="K515" s="9">
        <v>140</v>
      </c>
      <c r="L515" s="9">
        <v>80</v>
      </c>
    </row>
    <row r="516" spans="1:12">
      <c r="A516" s="10">
        <v>0.35416666666666702</v>
      </c>
      <c r="B516" s="9" t="e">
        <f t="shared" si="17"/>
        <v>#N/A</v>
      </c>
      <c r="J516" s="9">
        <v>300</v>
      </c>
      <c r="K516" s="9">
        <v>140</v>
      </c>
      <c r="L516" s="9">
        <v>80</v>
      </c>
    </row>
    <row r="517" spans="1:12">
      <c r="A517" s="10">
        <v>0.36458333333333398</v>
      </c>
      <c r="B517" s="9" t="e">
        <f t="shared" si="17"/>
        <v>#N/A</v>
      </c>
      <c r="J517" s="9">
        <v>300</v>
      </c>
      <c r="K517" s="9">
        <v>140</v>
      </c>
      <c r="L517" s="9">
        <v>80</v>
      </c>
    </row>
    <row r="518" spans="1:12">
      <c r="A518" s="10">
        <v>0.375</v>
      </c>
      <c r="B518" s="9" t="e">
        <f t="shared" si="17"/>
        <v>#N/A</v>
      </c>
      <c r="J518" s="9">
        <v>300</v>
      </c>
      <c r="K518" s="9">
        <v>140</v>
      </c>
      <c r="L518" s="9">
        <v>80</v>
      </c>
    </row>
    <row r="519" spans="1:12">
      <c r="A519" s="10">
        <v>0.38541666666666702</v>
      </c>
      <c r="B519" s="9" t="e">
        <f t="shared" si="17"/>
        <v>#N/A</v>
      </c>
      <c r="J519" s="9">
        <v>300</v>
      </c>
      <c r="K519" s="9">
        <v>140</v>
      </c>
      <c r="L519" s="9">
        <v>80</v>
      </c>
    </row>
    <row r="520" spans="1:12">
      <c r="A520" s="10">
        <v>0.39583333333333398</v>
      </c>
      <c r="B520" s="9" t="e">
        <f t="shared" si="17"/>
        <v>#N/A</v>
      </c>
      <c r="J520" s="9">
        <v>300</v>
      </c>
      <c r="K520" s="9">
        <v>140</v>
      </c>
      <c r="L520" s="9">
        <v>80</v>
      </c>
    </row>
    <row r="521" spans="1:12">
      <c r="A521" s="10">
        <v>0.40625</v>
      </c>
      <c r="B521" s="9" t="e">
        <f t="shared" si="17"/>
        <v>#N/A</v>
      </c>
      <c r="J521" s="9">
        <v>300</v>
      </c>
      <c r="K521" s="9">
        <v>140</v>
      </c>
      <c r="L521" s="9">
        <v>80</v>
      </c>
    </row>
    <row r="522" spans="1:12">
      <c r="A522" s="10">
        <v>0.41666666666666702</v>
      </c>
      <c r="B522" s="9" t="e">
        <f t="shared" si="17"/>
        <v>#N/A</v>
      </c>
      <c r="J522" s="9">
        <v>300</v>
      </c>
      <c r="K522" s="9">
        <v>140</v>
      </c>
      <c r="L522" s="9">
        <v>80</v>
      </c>
    </row>
    <row r="523" spans="1:12">
      <c r="A523" s="10">
        <v>0.42708333333333398</v>
      </c>
      <c r="B523" s="9" t="e">
        <f t="shared" si="17"/>
        <v>#N/A</v>
      </c>
      <c r="J523" s="9">
        <v>300</v>
      </c>
      <c r="K523" s="9">
        <v>140</v>
      </c>
      <c r="L523" s="9">
        <v>80</v>
      </c>
    </row>
    <row r="524" spans="1:12">
      <c r="A524" s="10">
        <v>0.4375</v>
      </c>
      <c r="B524" s="9" t="e">
        <f t="shared" si="17"/>
        <v>#N/A</v>
      </c>
      <c r="J524" s="9">
        <v>300</v>
      </c>
      <c r="K524" s="9">
        <v>140</v>
      </c>
      <c r="L524" s="9">
        <v>80</v>
      </c>
    </row>
    <row r="525" spans="1:12">
      <c r="A525" s="10">
        <v>0.44791666666666702</v>
      </c>
      <c r="B525" s="9" t="e">
        <f t="shared" si="17"/>
        <v>#N/A</v>
      </c>
      <c r="J525" s="9">
        <v>300</v>
      </c>
      <c r="K525" s="9">
        <v>140</v>
      </c>
      <c r="L525" s="9">
        <v>80</v>
      </c>
    </row>
    <row r="526" spans="1:12">
      <c r="A526" s="10">
        <v>0.45833333333333398</v>
      </c>
      <c r="B526" s="9" t="e">
        <f t="shared" si="17"/>
        <v>#N/A</v>
      </c>
      <c r="J526" s="9">
        <v>300</v>
      </c>
      <c r="K526" s="9">
        <v>140</v>
      </c>
      <c r="L526" s="9">
        <v>80</v>
      </c>
    </row>
    <row r="527" spans="1:12">
      <c r="A527" s="10">
        <v>0.46875</v>
      </c>
      <c r="B527" s="9" t="e">
        <f t="shared" si="17"/>
        <v>#N/A</v>
      </c>
      <c r="J527" s="9">
        <v>300</v>
      </c>
      <c r="K527" s="9">
        <v>140</v>
      </c>
      <c r="L527" s="9">
        <v>80</v>
      </c>
    </row>
    <row r="528" spans="1:12">
      <c r="A528" s="10">
        <v>0.47916666666666702</v>
      </c>
      <c r="B528" s="9" t="e">
        <f t="shared" si="17"/>
        <v>#N/A</v>
      </c>
      <c r="J528" s="9">
        <v>300</v>
      </c>
      <c r="K528" s="9">
        <v>140</v>
      </c>
      <c r="L528" s="9">
        <v>80</v>
      </c>
    </row>
    <row r="529" spans="1:12">
      <c r="A529" s="10">
        <v>0.48958333333333398</v>
      </c>
      <c r="B529" s="9" t="e">
        <f t="shared" si="17"/>
        <v>#N/A</v>
      </c>
      <c r="J529" s="9">
        <v>300</v>
      </c>
      <c r="K529" s="9">
        <v>140</v>
      </c>
      <c r="L529" s="9">
        <v>80</v>
      </c>
    </row>
    <row r="530" spans="1:12">
      <c r="A530" s="10">
        <v>0.5</v>
      </c>
      <c r="B530" s="9" t="e">
        <f t="shared" si="17"/>
        <v>#N/A</v>
      </c>
      <c r="J530" s="9">
        <v>300</v>
      </c>
      <c r="K530" s="9">
        <v>140</v>
      </c>
      <c r="L530" s="9">
        <v>80</v>
      </c>
    </row>
    <row r="531" spans="1:12">
      <c r="A531" s="10">
        <v>0.51041666666666696</v>
      </c>
      <c r="B531" s="9" t="e">
        <f t="shared" si="17"/>
        <v>#N/A</v>
      </c>
      <c r="J531" s="9">
        <v>300</v>
      </c>
      <c r="K531" s="9">
        <v>140</v>
      </c>
      <c r="L531" s="9">
        <v>80</v>
      </c>
    </row>
    <row r="532" spans="1:12">
      <c r="A532" s="10">
        <v>0.52083333333333404</v>
      </c>
      <c r="B532" s="9" t="e">
        <f t="shared" si="17"/>
        <v>#N/A</v>
      </c>
      <c r="J532" s="9">
        <v>300</v>
      </c>
      <c r="K532" s="9">
        <v>140</v>
      </c>
      <c r="L532" s="9">
        <v>80</v>
      </c>
    </row>
    <row r="533" spans="1:12">
      <c r="A533" s="10">
        <v>0.53125</v>
      </c>
      <c r="B533" s="9" t="e">
        <f t="shared" si="17"/>
        <v>#N/A</v>
      </c>
      <c r="J533" s="9">
        <v>300</v>
      </c>
      <c r="K533" s="9">
        <v>140</v>
      </c>
      <c r="L533" s="9">
        <v>80</v>
      </c>
    </row>
    <row r="534" spans="1:12">
      <c r="A534" s="10">
        <v>0.54166666666666696</v>
      </c>
      <c r="B534" s="9" t="e">
        <f t="shared" si="17"/>
        <v>#N/A</v>
      </c>
      <c r="J534" s="9">
        <v>300</v>
      </c>
      <c r="K534" s="9">
        <v>140</v>
      </c>
      <c r="L534" s="9">
        <v>80</v>
      </c>
    </row>
    <row r="535" spans="1:12">
      <c r="A535" s="10">
        <v>0.55208333333333404</v>
      </c>
      <c r="B535" s="9" t="e">
        <f t="shared" si="17"/>
        <v>#N/A</v>
      </c>
      <c r="J535" s="9">
        <v>300</v>
      </c>
      <c r="K535" s="9">
        <v>140</v>
      </c>
      <c r="L535" s="9">
        <v>80</v>
      </c>
    </row>
    <row r="536" spans="1:12">
      <c r="A536" s="10">
        <v>0.562500000000001</v>
      </c>
      <c r="B536" s="9" t="e">
        <f t="shared" si="17"/>
        <v>#N/A</v>
      </c>
      <c r="J536" s="9">
        <v>300</v>
      </c>
      <c r="K536" s="9">
        <v>140</v>
      </c>
      <c r="L536" s="9">
        <v>80</v>
      </c>
    </row>
    <row r="537" spans="1:12">
      <c r="A537" s="10">
        <v>0.57291666666666696</v>
      </c>
      <c r="B537" s="9" t="e">
        <f t="shared" si="17"/>
        <v>#N/A</v>
      </c>
      <c r="J537" s="9">
        <v>300</v>
      </c>
      <c r="K537" s="9">
        <v>140</v>
      </c>
      <c r="L537" s="9">
        <v>80</v>
      </c>
    </row>
    <row r="538" spans="1:12">
      <c r="A538" s="10">
        <v>0.58333333333333504</v>
      </c>
      <c r="B538" s="9" t="e">
        <f t="shared" si="17"/>
        <v>#N/A</v>
      </c>
      <c r="J538" s="9">
        <v>300</v>
      </c>
      <c r="K538" s="9">
        <v>140</v>
      </c>
      <c r="L538" s="9">
        <v>80</v>
      </c>
    </row>
    <row r="539" spans="1:12">
      <c r="A539" s="10">
        <v>0.593750000000002</v>
      </c>
      <c r="B539" s="9" t="e">
        <f t="shared" si="17"/>
        <v>#N/A</v>
      </c>
      <c r="J539" s="9">
        <v>300</v>
      </c>
      <c r="K539" s="9">
        <v>140</v>
      </c>
      <c r="L539" s="9">
        <v>80</v>
      </c>
    </row>
    <row r="540" spans="1:12">
      <c r="A540" s="10">
        <v>0.60416666666666896</v>
      </c>
      <c r="B540" s="9" t="e">
        <f t="shared" si="17"/>
        <v>#N/A</v>
      </c>
      <c r="J540" s="9">
        <v>300</v>
      </c>
      <c r="K540" s="9">
        <v>140</v>
      </c>
      <c r="L540" s="9">
        <v>80</v>
      </c>
    </row>
    <row r="541" spans="1:12">
      <c r="A541" s="10">
        <v>0.61458333333333603</v>
      </c>
      <c r="B541" s="9" t="e">
        <f t="shared" si="17"/>
        <v>#N/A</v>
      </c>
      <c r="J541" s="9">
        <v>300</v>
      </c>
      <c r="K541" s="9">
        <v>140</v>
      </c>
      <c r="L541" s="9">
        <v>80</v>
      </c>
    </row>
    <row r="542" spans="1:12">
      <c r="A542" s="10">
        <v>0.625000000000004</v>
      </c>
      <c r="B542" s="9" t="e">
        <f t="shared" si="17"/>
        <v>#N/A</v>
      </c>
      <c r="J542" s="9">
        <v>300</v>
      </c>
      <c r="K542" s="9">
        <v>140</v>
      </c>
      <c r="L542" s="9">
        <v>80</v>
      </c>
    </row>
    <row r="543" spans="1:12">
      <c r="A543" s="10">
        <v>0.63541666666667096</v>
      </c>
      <c r="B543" s="9" t="e">
        <f t="shared" si="17"/>
        <v>#N/A</v>
      </c>
      <c r="J543" s="9">
        <v>300</v>
      </c>
      <c r="K543" s="9">
        <v>140</v>
      </c>
      <c r="L543" s="9">
        <v>80</v>
      </c>
    </row>
    <row r="544" spans="1:12">
      <c r="A544" s="10">
        <v>0.64583333333333803</v>
      </c>
      <c r="B544" s="9" t="e">
        <f t="shared" si="17"/>
        <v>#N/A</v>
      </c>
      <c r="J544" s="9">
        <v>300</v>
      </c>
      <c r="K544" s="9">
        <v>140</v>
      </c>
      <c r="L544" s="9">
        <v>80</v>
      </c>
    </row>
    <row r="545" spans="1:12">
      <c r="A545" s="10">
        <v>0.656250000000005</v>
      </c>
      <c r="B545" s="9" t="e">
        <f t="shared" si="17"/>
        <v>#N/A</v>
      </c>
      <c r="J545" s="9">
        <v>300</v>
      </c>
      <c r="K545" s="9">
        <v>140</v>
      </c>
      <c r="L545" s="9">
        <v>80</v>
      </c>
    </row>
    <row r="546" spans="1:12">
      <c r="A546" s="10">
        <v>0.66666666666667196</v>
      </c>
      <c r="B546" s="9" t="e">
        <f t="shared" si="17"/>
        <v>#N/A</v>
      </c>
      <c r="J546" s="9">
        <v>300</v>
      </c>
      <c r="K546" s="9">
        <v>140</v>
      </c>
      <c r="L546" s="9">
        <v>80</v>
      </c>
    </row>
    <row r="547" spans="1:12">
      <c r="A547" s="10">
        <v>0.67708333333333903</v>
      </c>
      <c r="B547" s="9" t="e">
        <f t="shared" si="17"/>
        <v>#N/A</v>
      </c>
      <c r="J547" s="9">
        <v>300</v>
      </c>
      <c r="K547" s="9">
        <v>140</v>
      </c>
      <c r="L547" s="9">
        <v>80</v>
      </c>
    </row>
    <row r="548" spans="1:12">
      <c r="A548" s="10">
        <v>0.687500000000006</v>
      </c>
      <c r="B548" s="9" t="e">
        <f t="shared" si="17"/>
        <v>#N/A</v>
      </c>
      <c r="J548" s="9">
        <v>300</v>
      </c>
      <c r="K548" s="9">
        <v>140</v>
      </c>
      <c r="L548" s="9">
        <v>80</v>
      </c>
    </row>
    <row r="549" spans="1:12">
      <c r="A549" s="10">
        <v>0.69791666666667296</v>
      </c>
      <c r="B549" s="9" t="e">
        <f t="shared" si="17"/>
        <v>#N/A</v>
      </c>
      <c r="J549" s="9">
        <v>300</v>
      </c>
      <c r="K549" s="9">
        <v>140</v>
      </c>
      <c r="L549" s="9">
        <v>80</v>
      </c>
    </row>
    <row r="550" spans="1:12">
      <c r="A550" s="10">
        <v>0.70833333333334003</v>
      </c>
      <c r="B550" s="9" t="e">
        <f t="shared" si="17"/>
        <v>#N/A</v>
      </c>
      <c r="J550" s="9">
        <v>300</v>
      </c>
      <c r="K550" s="9">
        <v>140</v>
      </c>
      <c r="L550" s="9">
        <v>80</v>
      </c>
    </row>
    <row r="551" spans="1:12">
      <c r="A551" s="10">
        <v>0.71875000000000699</v>
      </c>
      <c r="B551" s="9" t="e">
        <f t="shared" si="17"/>
        <v>#N/A</v>
      </c>
      <c r="J551" s="9">
        <v>300</v>
      </c>
      <c r="K551" s="9">
        <v>140</v>
      </c>
      <c r="L551" s="9">
        <v>80</v>
      </c>
    </row>
    <row r="552" spans="1:12">
      <c r="A552" s="10">
        <v>0.72916666666667396</v>
      </c>
      <c r="B552" s="9" t="e">
        <f t="shared" si="17"/>
        <v>#N/A</v>
      </c>
      <c r="J552" s="9">
        <v>300</v>
      </c>
      <c r="K552" s="9">
        <v>140</v>
      </c>
      <c r="L552" s="9">
        <v>80</v>
      </c>
    </row>
    <row r="553" spans="1:12">
      <c r="A553" s="10">
        <v>0.73958333333334103</v>
      </c>
      <c r="B553" s="9" t="e">
        <f t="shared" si="17"/>
        <v>#N/A</v>
      </c>
      <c r="J553" s="9">
        <v>300</v>
      </c>
      <c r="K553" s="9">
        <v>140</v>
      </c>
      <c r="L553" s="9">
        <v>80</v>
      </c>
    </row>
    <row r="554" spans="1:12">
      <c r="A554" s="10">
        <v>0.75000000000000799</v>
      </c>
      <c r="B554" s="9" t="e">
        <f t="shared" si="17"/>
        <v>#N/A</v>
      </c>
      <c r="J554" s="9">
        <v>300</v>
      </c>
      <c r="K554" s="9">
        <v>140</v>
      </c>
      <c r="L554" s="9">
        <v>80</v>
      </c>
    </row>
    <row r="555" spans="1:12">
      <c r="A555" s="10">
        <v>0.76041666666667596</v>
      </c>
      <c r="B555" s="9" t="e">
        <f t="shared" si="17"/>
        <v>#N/A</v>
      </c>
      <c r="J555" s="9">
        <v>300</v>
      </c>
      <c r="K555" s="9">
        <v>140</v>
      </c>
      <c r="L555" s="9">
        <v>80</v>
      </c>
    </row>
    <row r="556" spans="1:12">
      <c r="A556" s="10">
        <v>0.77083333333334303</v>
      </c>
      <c r="B556" s="9" t="e">
        <f t="shared" si="17"/>
        <v>#N/A</v>
      </c>
      <c r="J556" s="9">
        <v>300</v>
      </c>
      <c r="K556" s="9">
        <v>140</v>
      </c>
      <c r="L556" s="9">
        <v>80</v>
      </c>
    </row>
    <row r="557" spans="1:12">
      <c r="A557" s="10">
        <v>0.78125000000000999</v>
      </c>
      <c r="B557" s="9" t="e">
        <f t="shared" si="17"/>
        <v>#N/A</v>
      </c>
      <c r="J557" s="9">
        <v>300</v>
      </c>
      <c r="K557" s="9">
        <v>140</v>
      </c>
      <c r="L557" s="9">
        <v>80</v>
      </c>
    </row>
    <row r="558" spans="1:12">
      <c r="A558" s="10">
        <v>0.79166666666667695</v>
      </c>
      <c r="B558" s="9" t="e">
        <f t="shared" si="17"/>
        <v>#N/A</v>
      </c>
      <c r="J558" s="9">
        <v>300</v>
      </c>
      <c r="K558" s="9">
        <v>140</v>
      </c>
      <c r="L558" s="9">
        <v>80</v>
      </c>
    </row>
    <row r="559" spans="1:12">
      <c r="A559" s="10">
        <v>0.80208333333334403</v>
      </c>
      <c r="B559" s="9" t="e">
        <f t="shared" si="17"/>
        <v>#N/A</v>
      </c>
      <c r="J559" s="9">
        <v>300</v>
      </c>
      <c r="K559" s="9">
        <v>140</v>
      </c>
      <c r="L559" s="9">
        <v>80</v>
      </c>
    </row>
    <row r="560" spans="1:12">
      <c r="A560" s="10">
        <v>0.81250000000001099</v>
      </c>
      <c r="B560" s="9" t="e">
        <f t="shared" si="17"/>
        <v>#N/A</v>
      </c>
      <c r="J560" s="9">
        <v>300</v>
      </c>
      <c r="K560" s="9">
        <v>140</v>
      </c>
      <c r="L560" s="9">
        <v>80</v>
      </c>
    </row>
    <row r="561" spans="1:12">
      <c r="A561" s="10">
        <v>0.82291666666667795</v>
      </c>
      <c r="B561" s="9" t="e">
        <f t="shared" si="17"/>
        <v>#N/A</v>
      </c>
      <c r="J561" s="9">
        <v>300</v>
      </c>
      <c r="K561" s="9">
        <v>140</v>
      </c>
      <c r="L561" s="9">
        <v>80</v>
      </c>
    </row>
    <row r="562" spans="1:12">
      <c r="A562" s="10">
        <v>0.83333333333334503</v>
      </c>
      <c r="B562" s="9" t="e">
        <f t="shared" si="17"/>
        <v>#N/A</v>
      </c>
      <c r="J562" s="9">
        <v>300</v>
      </c>
      <c r="K562" s="9">
        <v>140</v>
      </c>
      <c r="L562" s="9">
        <v>80</v>
      </c>
    </row>
    <row r="563" spans="1:12">
      <c r="A563" s="10">
        <v>0.84375000000001199</v>
      </c>
      <c r="B563" s="9" t="e">
        <f t="shared" si="17"/>
        <v>#N/A</v>
      </c>
      <c r="J563" s="9">
        <v>300</v>
      </c>
      <c r="K563" s="9">
        <v>140</v>
      </c>
      <c r="L563" s="9">
        <v>80</v>
      </c>
    </row>
    <row r="564" spans="1:12">
      <c r="A564" s="10">
        <v>0.85416666666667895</v>
      </c>
      <c r="B564" s="9" t="e">
        <f t="shared" si="17"/>
        <v>#N/A</v>
      </c>
      <c r="J564" s="9">
        <v>300</v>
      </c>
      <c r="K564" s="9">
        <v>140</v>
      </c>
      <c r="L564" s="9">
        <v>80</v>
      </c>
    </row>
    <row r="565" spans="1:12">
      <c r="A565" s="10">
        <v>0.86458333333334603</v>
      </c>
      <c r="B565" s="9" t="e">
        <f t="shared" si="17"/>
        <v>#N/A</v>
      </c>
      <c r="J565" s="9">
        <v>300</v>
      </c>
      <c r="K565" s="9">
        <v>140</v>
      </c>
      <c r="L565" s="9">
        <v>80</v>
      </c>
    </row>
    <row r="566" spans="1:12">
      <c r="A566" s="10">
        <v>0.87500000000001299</v>
      </c>
      <c r="B566" s="9" t="e">
        <f t="shared" si="17"/>
        <v>#N/A</v>
      </c>
      <c r="J566" s="9">
        <v>300</v>
      </c>
      <c r="K566" s="9">
        <v>140</v>
      </c>
      <c r="L566" s="9">
        <v>80</v>
      </c>
    </row>
    <row r="567" spans="1:12">
      <c r="A567" s="10">
        <v>0.88541666666667995</v>
      </c>
      <c r="B567" s="9" t="e">
        <f t="shared" si="17"/>
        <v>#N/A</v>
      </c>
      <c r="J567" s="9">
        <v>300</v>
      </c>
      <c r="K567" s="9">
        <v>140</v>
      </c>
      <c r="L567" s="9">
        <v>80</v>
      </c>
    </row>
    <row r="568" spans="1:12">
      <c r="A568" s="10">
        <v>0.89583333333334803</v>
      </c>
      <c r="B568" s="9" t="e">
        <f t="shared" si="17"/>
        <v>#N/A</v>
      </c>
      <c r="J568" s="9">
        <v>300</v>
      </c>
      <c r="K568" s="9">
        <v>140</v>
      </c>
      <c r="L568" s="9">
        <v>80</v>
      </c>
    </row>
    <row r="569" spans="1:12">
      <c r="A569" s="10">
        <v>0.90625000000001499</v>
      </c>
      <c r="B569" s="9" t="e">
        <f t="shared" si="17"/>
        <v>#N/A</v>
      </c>
      <c r="J569" s="9">
        <v>300</v>
      </c>
      <c r="K569" s="9">
        <v>140</v>
      </c>
      <c r="L569" s="9">
        <v>80</v>
      </c>
    </row>
    <row r="570" spans="1:12">
      <c r="A570" s="10">
        <v>0.91666666666668195</v>
      </c>
      <c r="B570" s="9" t="e">
        <f t="shared" si="17"/>
        <v>#N/A</v>
      </c>
      <c r="J570" s="9">
        <v>300</v>
      </c>
      <c r="K570" s="9">
        <v>140</v>
      </c>
      <c r="L570" s="9">
        <v>80</v>
      </c>
    </row>
    <row r="571" spans="1:12">
      <c r="A571" s="10">
        <v>0.92708333333334902</v>
      </c>
      <c r="B571" s="9" t="e">
        <f t="shared" ref="B571:B601" si="18">F67</f>
        <v>#N/A</v>
      </c>
      <c r="J571" s="9">
        <v>300</v>
      </c>
      <c r="K571" s="9">
        <v>140</v>
      </c>
      <c r="L571" s="9">
        <v>80</v>
      </c>
    </row>
    <row r="572" spans="1:12">
      <c r="A572" s="10">
        <v>0.93750000000001599</v>
      </c>
      <c r="B572" s="9" t="e">
        <f t="shared" si="18"/>
        <v>#N/A</v>
      </c>
      <c r="J572" s="9">
        <v>300</v>
      </c>
      <c r="K572" s="9">
        <v>140</v>
      </c>
      <c r="L572" s="9">
        <v>80</v>
      </c>
    </row>
    <row r="573" spans="1:12">
      <c r="A573" s="10">
        <v>0.94791666666668295</v>
      </c>
      <c r="B573" s="9" t="e">
        <f t="shared" si="18"/>
        <v>#N/A</v>
      </c>
      <c r="J573" s="9">
        <v>300</v>
      </c>
      <c r="K573" s="9">
        <v>140</v>
      </c>
      <c r="L573" s="9">
        <v>80</v>
      </c>
    </row>
    <row r="574" spans="1:12">
      <c r="A574" s="10">
        <v>0.95833333333335002</v>
      </c>
      <c r="B574" s="9" t="e">
        <f t="shared" si="18"/>
        <v>#N/A</v>
      </c>
      <c r="J574" s="9">
        <v>300</v>
      </c>
      <c r="K574" s="9">
        <v>140</v>
      </c>
      <c r="L574" s="9">
        <v>80</v>
      </c>
    </row>
    <row r="575" spans="1:12">
      <c r="A575" s="10">
        <v>0.96875000000001699</v>
      </c>
      <c r="B575" s="9" t="e">
        <f t="shared" si="18"/>
        <v>#N/A</v>
      </c>
      <c r="J575" s="9">
        <v>300</v>
      </c>
      <c r="K575" s="9">
        <v>140</v>
      </c>
      <c r="L575" s="9">
        <v>80</v>
      </c>
    </row>
    <row r="576" spans="1:12">
      <c r="A576" s="10">
        <v>0.97916666666668395</v>
      </c>
      <c r="B576" s="9" t="e">
        <f t="shared" si="18"/>
        <v>#N/A</v>
      </c>
      <c r="J576" s="9">
        <v>300</v>
      </c>
      <c r="K576" s="9">
        <v>140</v>
      </c>
      <c r="L576" s="9">
        <v>80</v>
      </c>
    </row>
    <row r="577" spans="1:12">
      <c r="A577" s="10">
        <v>0.98958333333335102</v>
      </c>
      <c r="B577" s="9" t="e">
        <f t="shared" si="18"/>
        <v>#N/A</v>
      </c>
      <c r="J577" s="9">
        <v>300</v>
      </c>
      <c r="K577" s="9">
        <v>140</v>
      </c>
      <c r="L577" s="9">
        <v>80</v>
      </c>
    </row>
    <row r="578" spans="1:12">
      <c r="A578" s="10">
        <v>1.00000000000002</v>
      </c>
      <c r="B578" s="9" t="e">
        <f t="shared" si="18"/>
        <v>#N/A</v>
      </c>
      <c r="J578" s="9">
        <v>300</v>
      </c>
      <c r="K578" s="9">
        <v>140</v>
      </c>
      <c r="L578" s="9">
        <v>80</v>
      </c>
    </row>
    <row r="579" spans="1:12">
      <c r="A579" s="10">
        <v>1.0104166666666801</v>
      </c>
      <c r="B579" s="9" t="e">
        <f t="shared" si="18"/>
        <v>#N/A</v>
      </c>
      <c r="J579" s="9">
        <v>300</v>
      </c>
      <c r="K579" s="9">
        <v>140</v>
      </c>
      <c r="L579" s="9">
        <v>80</v>
      </c>
    </row>
    <row r="580" spans="1:12">
      <c r="A580" s="10">
        <v>1.0208333333333499</v>
      </c>
      <c r="B580" s="9" t="e">
        <f t="shared" si="18"/>
        <v>#N/A</v>
      </c>
      <c r="J580" s="9">
        <v>300</v>
      </c>
      <c r="K580" s="9">
        <v>140</v>
      </c>
      <c r="L580" s="9">
        <v>80</v>
      </c>
    </row>
    <row r="581" spans="1:12">
      <c r="A581" s="10">
        <v>1.03125000000002</v>
      </c>
      <c r="B581" s="9" t="e">
        <f t="shared" si="18"/>
        <v>#N/A</v>
      </c>
      <c r="J581" s="9">
        <v>300</v>
      </c>
      <c r="K581" s="9">
        <v>140</v>
      </c>
      <c r="L581" s="9">
        <v>80</v>
      </c>
    </row>
    <row r="582" spans="1:12">
      <c r="A582" s="10">
        <v>1.0416666666666901</v>
      </c>
      <c r="B582" s="9" t="e">
        <f t="shared" si="18"/>
        <v>#N/A</v>
      </c>
      <c r="J582" s="9">
        <v>300</v>
      </c>
      <c r="K582" s="9">
        <v>140</v>
      </c>
      <c r="L582" s="9">
        <v>80</v>
      </c>
    </row>
    <row r="583" spans="1:12">
      <c r="A583" s="10">
        <v>1.0520833333333499</v>
      </c>
      <c r="B583" s="9" t="e">
        <f t="shared" si="18"/>
        <v>#N/A</v>
      </c>
      <c r="J583" s="9">
        <v>300</v>
      </c>
      <c r="K583" s="9">
        <v>140</v>
      </c>
      <c r="L583" s="9">
        <v>80</v>
      </c>
    </row>
    <row r="584" spans="1:12">
      <c r="A584" s="10">
        <v>1.06250000000002</v>
      </c>
      <c r="B584" s="9" t="e">
        <f t="shared" si="18"/>
        <v>#N/A</v>
      </c>
      <c r="J584" s="9">
        <v>300</v>
      </c>
      <c r="K584" s="9">
        <v>140</v>
      </c>
      <c r="L584" s="9">
        <v>80</v>
      </c>
    </row>
    <row r="585" spans="1:12">
      <c r="A585" s="10">
        <v>1.0729166666666901</v>
      </c>
      <c r="B585" s="9" t="e">
        <f t="shared" si="18"/>
        <v>#N/A</v>
      </c>
      <c r="J585" s="9">
        <v>300</v>
      </c>
      <c r="K585" s="9">
        <v>140</v>
      </c>
      <c r="L585" s="9">
        <v>80</v>
      </c>
    </row>
    <row r="586" spans="1:12">
      <c r="A586" s="10">
        <v>1.0833333333333499</v>
      </c>
      <c r="B586" s="9" t="e">
        <f t="shared" si="18"/>
        <v>#N/A</v>
      </c>
      <c r="J586" s="9">
        <v>300</v>
      </c>
      <c r="K586" s="9">
        <v>140</v>
      </c>
      <c r="L586" s="9">
        <v>80</v>
      </c>
    </row>
    <row r="587" spans="1:12">
      <c r="A587" s="10">
        <v>1.09375000000002</v>
      </c>
      <c r="B587" s="9" t="e">
        <f t="shared" si="18"/>
        <v>#N/A</v>
      </c>
      <c r="J587" s="9">
        <v>300</v>
      </c>
      <c r="K587" s="9">
        <v>140</v>
      </c>
      <c r="L587" s="9">
        <v>80</v>
      </c>
    </row>
    <row r="588" spans="1:12">
      <c r="A588" s="10">
        <v>1.1041666666666901</v>
      </c>
      <c r="B588" s="9" t="e">
        <f t="shared" si="18"/>
        <v>#N/A</v>
      </c>
      <c r="J588" s="9">
        <v>300</v>
      </c>
      <c r="K588" s="9">
        <v>140</v>
      </c>
      <c r="L588" s="9">
        <v>80</v>
      </c>
    </row>
    <row r="589" spans="1:12">
      <c r="A589" s="10">
        <v>1.1145833333333599</v>
      </c>
      <c r="B589" s="9" t="e">
        <f t="shared" si="18"/>
        <v>#N/A</v>
      </c>
      <c r="J589" s="9">
        <v>300</v>
      </c>
      <c r="K589" s="9">
        <v>140</v>
      </c>
      <c r="L589" s="9">
        <v>80</v>
      </c>
    </row>
    <row r="590" spans="1:12">
      <c r="A590" s="10">
        <v>1.12500000000002</v>
      </c>
      <c r="B590" s="9" t="e">
        <f t="shared" si="18"/>
        <v>#N/A</v>
      </c>
      <c r="J590" s="9">
        <v>300</v>
      </c>
      <c r="K590" s="9">
        <v>140</v>
      </c>
      <c r="L590" s="9">
        <v>80</v>
      </c>
    </row>
    <row r="591" spans="1:12">
      <c r="A591" s="10">
        <v>1.1354166666666901</v>
      </c>
      <c r="B591" s="9" t="e">
        <f t="shared" si="18"/>
        <v>#N/A</v>
      </c>
      <c r="J591" s="9">
        <v>300</v>
      </c>
      <c r="K591" s="9">
        <v>140</v>
      </c>
      <c r="L591" s="9">
        <v>80</v>
      </c>
    </row>
    <row r="592" spans="1:12">
      <c r="A592" s="10">
        <v>1.1458333333333599</v>
      </c>
      <c r="B592" s="9" t="e">
        <f t="shared" si="18"/>
        <v>#N/A</v>
      </c>
      <c r="J592" s="9">
        <v>300</v>
      </c>
      <c r="K592" s="9">
        <v>140</v>
      </c>
      <c r="L592" s="9">
        <v>80</v>
      </c>
    </row>
    <row r="593" spans="1:12">
      <c r="A593" s="10">
        <v>1.15625000000002</v>
      </c>
      <c r="B593" s="9" t="e">
        <f t="shared" si="18"/>
        <v>#N/A</v>
      </c>
      <c r="J593" s="9">
        <v>300</v>
      </c>
      <c r="K593" s="9">
        <v>140</v>
      </c>
      <c r="L593" s="9">
        <v>80</v>
      </c>
    </row>
    <row r="594" spans="1:12">
      <c r="A594" s="10">
        <v>1.1666666666666901</v>
      </c>
      <c r="B594" s="9" t="e">
        <f t="shared" si="18"/>
        <v>#N/A</v>
      </c>
      <c r="J594" s="9">
        <v>300</v>
      </c>
      <c r="K594" s="9">
        <v>140</v>
      </c>
      <c r="L594" s="9">
        <v>80</v>
      </c>
    </row>
    <row r="595" spans="1:12">
      <c r="A595" s="10">
        <v>1.1770833333333599</v>
      </c>
      <c r="B595" s="9" t="e">
        <f t="shared" si="18"/>
        <v>#N/A</v>
      </c>
      <c r="J595" s="9">
        <v>300</v>
      </c>
      <c r="K595" s="9">
        <v>140</v>
      </c>
      <c r="L595" s="9">
        <v>80</v>
      </c>
    </row>
    <row r="596" spans="1:12">
      <c r="A596" s="10">
        <v>1.18750000000003</v>
      </c>
      <c r="B596" s="9" t="e">
        <f t="shared" si="18"/>
        <v>#N/A</v>
      </c>
      <c r="J596" s="9">
        <v>300</v>
      </c>
      <c r="K596" s="9">
        <v>140</v>
      </c>
      <c r="L596" s="9">
        <v>80</v>
      </c>
    </row>
    <row r="597" spans="1:12">
      <c r="A597" s="10">
        <v>1.1979166666666901</v>
      </c>
      <c r="B597" s="9" t="e">
        <f t="shared" si="18"/>
        <v>#N/A</v>
      </c>
      <c r="J597" s="9">
        <v>300</v>
      </c>
      <c r="K597" s="9">
        <v>140</v>
      </c>
      <c r="L597" s="9">
        <v>80</v>
      </c>
    </row>
    <row r="598" spans="1:12">
      <c r="A598" s="10">
        <v>1.2083333333333599</v>
      </c>
      <c r="B598" s="9" t="e">
        <f t="shared" si="18"/>
        <v>#N/A</v>
      </c>
      <c r="J598" s="9">
        <v>300</v>
      </c>
      <c r="K598" s="9">
        <v>140</v>
      </c>
      <c r="L598" s="9">
        <v>80</v>
      </c>
    </row>
    <row r="599" spans="1:12">
      <c r="A599" s="10">
        <v>1.21875000000003</v>
      </c>
      <c r="B599" s="9" t="e">
        <f t="shared" si="18"/>
        <v>#N/A</v>
      </c>
      <c r="J599" s="9">
        <v>300</v>
      </c>
      <c r="K599" s="9">
        <v>140</v>
      </c>
      <c r="L599" s="9">
        <v>80</v>
      </c>
    </row>
    <row r="600" spans="1:12">
      <c r="A600" s="10">
        <v>1.2291666666666901</v>
      </c>
      <c r="B600" s="9" t="e">
        <f t="shared" si="18"/>
        <v>#N/A</v>
      </c>
      <c r="J600" s="9">
        <v>300</v>
      </c>
      <c r="K600" s="9">
        <v>140</v>
      </c>
      <c r="L600" s="9">
        <v>80</v>
      </c>
    </row>
    <row r="601" spans="1:12">
      <c r="A601" s="10">
        <v>1.2395833333333599</v>
      </c>
      <c r="B601" s="9" t="e">
        <f t="shared" si="18"/>
        <v>#N/A</v>
      </c>
      <c r="J601" s="9">
        <v>300</v>
      </c>
      <c r="K601" s="9">
        <v>140</v>
      </c>
      <c r="L601" s="9">
        <v>80</v>
      </c>
    </row>
    <row r="602" spans="1:12">
      <c r="A602" s="10">
        <v>0.25</v>
      </c>
      <c r="B602" s="9" t="e">
        <f>G2</f>
        <v>#N/A</v>
      </c>
      <c r="J602" s="9">
        <v>300</v>
      </c>
      <c r="K602" s="9">
        <v>140</v>
      </c>
      <c r="L602" s="9">
        <v>80</v>
      </c>
    </row>
    <row r="603" spans="1:12">
      <c r="A603" s="10">
        <v>0.26041666666666669</v>
      </c>
      <c r="B603" s="9" t="e">
        <f t="shared" ref="B603:B666" si="19">G3</f>
        <v>#N/A</v>
      </c>
      <c r="J603" s="9">
        <v>300</v>
      </c>
      <c r="K603" s="9">
        <v>140</v>
      </c>
      <c r="L603" s="9">
        <v>80</v>
      </c>
    </row>
    <row r="604" spans="1:12">
      <c r="A604" s="10">
        <v>0.27083333333333331</v>
      </c>
      <c r="B604" s="9" t="e">
        <f t="shared" si="19"/>
        <v>#N/A</v>
      </c>
      <c r="J604" s="9">
        <v>300</v>
      </c>
      <c r="K604" s="9">
        <v>140</v>
      </c>
      <c r="L604" s="9">
        <v>80</v>
      </c>
    </row>
    <row r="605" spans="1:12">
      <c r="A605" s="10">
        <v>0.28125</v>
      </c>
      <c r="B605" s="9" t="e">
        <f t="shared" si="19"/>
        <v>#N/A</v>
      </c>
      <c r="J605" s="9">
        <v>300</v>
      </c>
      <c r="K605" s="9">
        <v>140</v>
      </c>
      <c r="L605" s="9">
        <v>80</v>
      </c>
    </row>
    <row r="606" spans="1:12">
      <c r="A606" s="10">
        <v>0.29166666666666702</v>
      </c>
      <c r="B606" s="9" t="e">
        <f t="shared" si="19"/>
        <v>#N/A</v>
      </c>
      <c r="J606" s="9">
        <v>300</v>
      </c>
      <c r="K606" s="9">
        <v>140</v>
      </c>
      <c r="L606" s="9">
        <v>80</v>
      </c>
    </row>
    <row r="607" spans="1:12">
      <c r="A607" s="10">
        <v>0.30208333333333298</v>
      </c>
      <c r="B607" s="9" t="e">
        <f t="shared" si="19"/>
        <v>#N/A</v>
      </c>
      <c r="J607" s="9">
        <v>300</v>
      </c>
      <c r="K607" s="9">
        <v>140</v>
      </c>
      <c r="L607" s="9">
        <v>80</v>
      </c>
    </row>
    <row r="608" spans="1:12">
      <c r="A608" s="10">
        <v>0.3125</v>
      </c>
      <c r="B608" s="9" t="e">
        <f t="shared" si="19"/>
        <v>#N/A</v>
      </c>
      <c r="J608" s="9">
        <v>300</v>
      </c>
      <c r="K608" s="9">
        <v>140</v>
      </c>
      <c r="L608" s="9">
        <v>80</v>
      </c>
    </row>
    <row r="609" spans="1:12">
      <c r="A609" s="10">
        <v>0.32291666666666702</v>
      </c>
      <c r="B609" s="9" t="e">
        <f t="shared" si="19"/>
        <v>#N/A</v>
      </c>
      <c r="J609" s="9">
        <v>300</v>
      </c>
      <c r="K609" s="9">
        <v>140</v>
      </c>
      <c r="L609" s="9">
        <v>80</v>
      </c>
    </row>
    <row r="610" spans="1:12">
      <c r="A610" s="10">
        <v>0.33333333333333298</v>
      </c>
      <c r="B610" s="9" t="e">
        <f t="shared" si="19"/>
        <v>#N/A</v>
      </c>
      <c r="J610" s="9">
        <v>300</v>
      </c>
      <c r="K610" s="9">
        <v>140</v>
      </c>
      <c r="L610" s="9">
        <v>80</v>
      </c>
    </row>
    <row r="611" spans="1:12">
      <c r="A611" s="10">
        <v>0.34375</v>
      </c>
      <c r="B611" s="9" t="e">
        <f t="shared" si="19"/>
        <v>#N/A</v>
      </c>
      <c r="J611" s="9">
        <v>300</v>
      </c>
      <c r="K611" s="9">
        <v>140</v>
      </c>
      <c r="L611" s="9">
        <v>80</v>
      </c>
    </row>
    <row r="612" spans="1:12">
      <c r="A612" s="10">
        <v>0.35416666666666702</v>
      </c>
      <c r="B612" s="9" t="e">
        <f t="shared" si="19"/>
        <v>#N/A</v>
      </c>
      <c r="J612" s="9">
        <v>300</v>
      </c>
      <c r="K612" s="9">
        <v>140</v>
      </c>
      <c r="L612" s="9">
        <v>80</v>
      </c>
    </row>
    <row r="613" spans="1:12">
      <c r="A613" s="10">
        <v>0.36458333333333398</v>
      </c>
      <c r="B613" s="9" t="e">
        <f t="shared" si="19"/>
        <v>#N/A</v>
      </c>
      <c r="J613" s="9">
        <v>300</v>
      </c>
      <c r="K613" s="9">
        <v>140</v>
      </c>
      <c r="L613" s="9">
        <v>80</v>
      </c>
    </row>
    <row r="614" spans="1:12">
      <c r="A614" s="10">
        <v>0.375</v>
      </c>
      <c r="B614" s="9" t="e">
        <f t="shared" si="19"/>
        <v>#N/A</v>
      </c>
      <c r="J614" s="9">
        <v>300</v>
      </c>
      <c r="K614" s="9">
        <v>140</v>
      </c>
      <c r="L614" s="9">
        <v>80</v>
      </c>
    </row>
    <row r="615" spans="1:12">
      <c r="A615" s="10">
        <v>0.38541666666666702</v>
      </c>
      <c r="B615" s="9" t="e">
        <f t="shared" si="19"/>
        <v>#N/A</v>
      </c>
      <c r="J615" s="9">
        <v>300</v>
      </c>
      <c r="K615" s="9">
        <v>140</v>
      </c>
      <c r="L615" s="9">
        <v>80</v>
      </c>
    </row>
    <row r="616" spans="1:12">
      <c r="A616" s="10">
        <v>0.39583333333333398</v>
      </c>
      <c r="B616" s="9" t="e">
        <f t="shared" si="19"/>
        <v>#N/A</v>
      </c>
      <c r="J616" s="9">
        <v>300</v>
      </c>
      <c r="K616" s="9">
        <v>140</v>
      </c>
      <c r="L616" s="9">
        <v>80</v>
      </c>
    </row>
    <row r="617" spans="1:12">
      <c r="A617" s="10">
        <v>0.40625</v>
      </c>
      <c r="B617" s="9" t="e">
        <f t="shared" si="19"/>
        <v>#N/A</v>
      </c>
      <c r="J617" s="9">
        <v>300</v>
      </c>
      <c r="K617" s="9">
        <v>140</v>
      </c>
      <c r="L617" s="9">
        <v>80</v>
      </c>
    </row>
    <row r="618" spans="1:12">
      <c r="A618" s="10">
        <v>0.41666666666666702</v>
      </c>
      <c r="B618" s="9" t="e">
        <f t="shared" si="19"/>
        <v>#N/A</v>
      </c>
      <c r="J618" s="9">
        <v>300</v>
      </c>
      <c r="K618" s="9">
        <v>140</v>
      </c>
      <c r="L618" s="9">
        <v>80</v>
      </c>
    </row>
    <row r="619" spans="1:12">
      <c r="A619" s="10">
        <v>0.42708333333333398</v>
      </c>
      <c r="B619" s="9" t="e">
        <f t="shared" si="19"/>
        <v>#N/A</v>
      </c>
      <c r="J619" s="9">
        <v>300</v>
      </c>
      <c r="K619" s="9">
        <v>140</v>
      </c>
      <c r="L619" s="9">
        <v>80</v>
      </c>
    </row>
    <row r="620" spans="1:12">
      <c r="A620" s="10">
        <v>0.4375</v>
      </c>
      <c r="B620" s="9" t="e">
        <f t="shared" si="19"/>
        <v>#N/A</v>
      </c>
      <c r="J620" s="9">
        <v>300</v>
      </c>
      <c r="K620" s="9">
        <v>140</v>
      </c>
      <c r="L620" s="9">
        <v>80</v>
      </c>
    </row>
    <row r="621" spans="1:12">
      <c r="A621" s="10">
        <v>0.44791666666666702</v>
      </c>
      <c r="B621" s="9" t="e">
        <f t="shared" si="19"/>
        <v>#N/A</v>
      </c>
      <c r="J621" s="9">
        <v>300</v>
      </c>
      <c r="K621" s="9">
        <v>140</v>
      </c>
      <c r="L621" s="9">
        <v>80</v>
      </c>
    </row>
    <row r="622" spans="1:12">
      <c r="A622" s="10">
        <v>0.45833333333333398</v>
      </c>
      <c r="B622" s="9" t="e">
        <f t="shared" si="19"/>
        <v>#N/A</v>
      </c>
      <c r="J622" s="9">
        <v>300</v>
      </c>
      <c r="K622" s="9">
        <v>140</v>
      </c>
      <c r="L622" s="9">
        <v>80</v>
      </c>
    </row>
    <row r="623" spans="1:12">
      <c r="A623" s="10">
        <v>0.46875</v>
      </c>
      <c r="B623" s="9" t="e">
        <f t="shared" si="19"/>
        <v>#N/A</v>
      </c>
      <c r="J623" s="9">
        <v>300</v>
      </c>
      <c r="K623" s="9">
        <v>140</v>
      </c>
      <c r="L623" s="9">
        <v>80</v>
      </c>
    </row>
    <row r="624" spans="1:12">
      <c r="A624" s="10">
        <v>0.47916666666666702</v>
      </c>
      <c r="B624" s="9" t="e">
        <f t="shared" si="19"/>
        <v>#N/A</v>
      </c>
      <c r="J624" s="9">
        <v>300</v>
      </c>
      <c r="K624" s="9">
        <v>140</v>
      </c>
      <c r="L624" s="9">
        <v>80</v>
      </c>
    </row>
    <row r="625" spans="1:12">
      <c r="A625" s="10">
        <v>0.48958333333333398</v>
      </c>
      <c r="B625" s="9" t="e">
        <f t="shared" si="19"/>
        <v>#N/A</v>
      </c>
      <c r="J625" s="9">
        <v>300</v>
      </c>
      <c r="K625" s="9">
        <v>140</v>
      </c>
      <c r="L625" s="9">
        <v>80</v>
      </c>
    </row>
    <row r="626" spans="1:12">
      <c r="A626" s="10">
        <v>0.5</v>
      </c>
      <c r="B626" s="9" t="e">
        <f t="shared" si="19"/>
        <v>#N/A</v>
      </c>
      <c r="J626" s="9">
        <v>300</v>
      </c>
      <c r="K626" s="9">
        <v>140</v>
      </c>
      <c r="L626" s="9">
        <v>80</v>
      </c>
    </row>
    <row r="627" spans="1:12">
      <c r="A627" s="10">
        <v>0.51041666666666696</v>
      </c>
      <c r="B627" s="9" t="e">
        <f t="shared" si="19"/>
        <v>#N/A</v>
      </c>
      <c r="J627" s="9">
        <v>300</v>
      </c>
      <c r="K627" s="9">
        <v>140</v>
      </c>
      <c r="L627" s="9">
        <v>80</v>
      </c>
    </row>
    <row r="628" spans="1:12">
      <c r="A628" s="10">
        <v>0.52083333333333404</v>
      </c>
      <c r="B628" s="9" t="e">
        <f t="shared" si="19"/>
        <v>#N/A</v>
      </c>
      <c r="J628" s="9">
        <v>300</v>
      </c>
      <c r="K628" s="9">
        <v>140</v>
      </c>
      <c r="L628" s="9">
        <v>80</v>
      </c>
    </row>
    <row r="629" spans="1:12">
      <c r="A629" s="10">
        <v>0.53125</v>
      </c>
      <c r="B629" s="9" t="e">
        <f t="shared" si="19"/>
        <v>#N/A</v>
      </c>
      <c r="J629" s="9">
        <v>300</v>
      </c>
      <c r="K629" s="9">
        <v>140</v>
      </c>
      <c r="L629" s="9">
        <v>80</v>
      </c>
    </row>
    <row r="630" spans="1:12">
      <c r="A630" s="10">
        <v>0.54166666666666696</v>
      </c>
      <c r="B630" s="9" t="e">
        <f t="shared" si="19"/>
        <v>#N/A</v>
      </c>
      <c r="J630" s="9">
        <v>300</v>
      </c>
      <c r="K630" s="9">
        <v>140</v>
      </c>
      <c r="L630" s="9">
        <v>80</v>
      </c>
    </row>
    <row r="631" spans="1:12">
      <c r="A631" s="10">
        <v>0.55208333333333404</v>
      </c>
      <c r="B631" s="9" t="e">
        <f t="shared" si="19"/>
        <v>#N/A</v>
      </c>
      <c r="J631" s="9">
        <v>300</v>
      </c>
      <c r="K631" s="9">
        <v>140</v>
      </c>
      <c r="L631" s="9">
        <v>80</v>
      </c>
    </row>
    <row r="632" spans="1:12">
      <c r="A632" s="10">
        <v>0.562500000000001</v>
      </c>
      <c r="B632" s="9" t="e">
        <f t="shared" si="19"/>
        <v>#N/A</v>
      </c>
      <c r="J632" s="9">
        <v>300</v>
      </c>
      <c r="K632" s="9">
        <v>140</v>
      </c>
      <c r="L632" s="9">
        <v>80</v>
      </c>
    </row>
    <row r="633" spans="1:12">
      <c r="A633" s="10">
        <v>0.57291666666666696</v>
      </c>
      <c r="B633" s="9" t="e">
        <f t="shared" si="19"/>
        <v>#N/A</v>
      </c>
      <c r="J633" s="9">
        <v>300</v>
      </c>
      <c r="K633" s="9">
        <v>140</v>
      </c>
      <c r="L633" s="9">
        <v>80</v>
      </c>
    </row>
    <row r="634" spans="1:12">
      <c r="A634" s="10">
        <v>0.58333333333333504</v>
      </c>
      <c r="B634" s="9" t="e">
        <f t="shared" si="19"/>
        <v>#N/A</v>
      </c>
      <c r="J634" s="9">
        <v>300</v>
      </c>
      <c r="K634" s="9">
        <v>140</v>
      </c>
      <c r="L634" s="9">
        <v>80</v>
      </c>
    </row>
    <row r="635" spans="1:12">
      <c r="A635" s="10">
        <v>0.593750000000002</v>
      </c>
      <c r="B635" s="9" t="e">
        <f t="shared" si="19"/>
        <v>#N/A</v>
      </c>
      <c r="J635" s="9">
        <v>300</v>
      </c>
      <c r="K635" s="9">
        <v>140</v>
      </c>
      <c r="L635" s="9">
        <v>80</v>
      </c>
    </row>
    <row r="636" spans="1:12">
      <c r="A636" s="10">
        <v>0.60416666666666896</v>
      </c>
      <c r="B636" s="9" t="e">
        <f t="shared" si="19"/>
        <v>#N/A</v>
      </c>
      <c r="J636" s="9">
        <v>300</v>
      </c>
      <c r="K636" s="9">
        <v>140</v>
      </c>
      <c r="L636" s="9">
        <v>80</v>
      </c>
    </row>
    <row r="637" spans="1:12">
      <c r="A637" s="10">
        <v>0.61458333333333603</v>
      </c>
      <c r="B637" s="9" t="e">
        <f t="shared" si="19"/>
        <v>#N/A</v>
      </c>
      <c r="J637" s="9">
        <v>300</v>
      </c>
      <c r="K637" s="9">
        <v>140</v>
      </c>
      <c r="L637" s="9">
        <v>80</v>
      </c>
    </row>
    <row r="638" spans="1:12">
      <c r="A638" s="10">
        <v>0.625000000000004</v>
      </c>
      <c r="B638" s="9" t="e">
        <f t="shared" si="19"/>
        <v>#N/A</v>
      </c>
      <c r="J638" s="9">
        <v>300</v>
      </c>
      <c r="K638" s="9">
        <v>140</v>
      </c>
      <c r="L638" s="9">
        <v>80</v>
      </c>
    </row>
    <row r="639" spans="1:12">
      <c r="A639" s="10">
        <v>0.63541666666667096</v>
      </c>
      <c r="B639" s="9" t="e">
        <f t="shared" si="19"/>
        <v>#N/A</v>
      </c>
      <c r="J639" s="9">
        <v>300</v>
      </c>
      <c r="K639" s="9">
        <v>140</v>
      </c>
      <c r="L639" s="9">
        <v>80</v>
      </c>
    </row>
    <row r="640" spans="1:12">
      <c r="A640" s="10">
        <v>0.64583333333333803</v>
      </c>
      <c r="B640" s="9" t="e">
        <f t="shared" si="19"/>
        <v>#N/A</v>
      </c>
      <c r="J640" s="9">
        <v>300</v>
      </c>
      <c r="K640" s="9">
        <v>140</v>
      </c>
      <c r="L640" s="9">
        <v>80</v>
      </c>
    </row>
    <row r="641" spans="1:12">
      <c r="A641" s="10">
        <v>0.656250000000005</v>
      </c>
      <c r="B641" s="9" t="e">
        <f t="shared" si="19"/>
        <v>#N/A</v>
      </c>
      <c r="J641" s="9">
        <v>300</v>
      </c>
      <c r="K641" s="9">
        <v>140</v>
      </c>
      <c r="L641" s="9">
        <v>80</v>
      </c>
    </row>
    <row r="642" spans="1:12">
      <c r="A642" s="10">
        <v>0.66666666666667196</v>
      </c>
      <c r="B642" s="9" t="e">
        <f t="shared" si="19"/>
        <v>#N/A</v>
      </c>
      <c r="J642" s="9">
        <v>300</v>
      </c>
      <c r="K642" s="9">
        <v>140</v>
      </c>
      <c r="L642" s="9">
        <v>80</v>
      </c>
    </row>
    <row r="643" spans="1:12">
      <c r="A643" s="10">
        <v>0.67708333333333903</v>
      </c>
      <c r="B643" s="9" t="e">
        <f t="shared" si="19"/>
        <v>#N/A</v>
      </c>
      <c r="J643" s="9">
        <v>300</v>
      </c>
      <c r="K643" s="9">
        <v>140</v>
      </c>
      <c r="L643" s="9">
        <v>80</v>
      </c>
    </row>
    <row r="644" spans="1:12">
      <c r="A644" s="10">
        <v>0.687500000000006</v>
      </c>
      <c r="B644" s="9" t="e">
        <f t="shared" si="19"/>
        <v>#N/A</v>
      </c>
      <c r="J644" s="9">
        <v>300</v>
      </c>
      <c r="K644" s="9">
        <v>140</v>
      </c>
      <c r="L644" s="9">
        <v>80</v>
      </c>
    </row>
    <row r="645" spans="1:12">
      <c r="A645" s="10">
        <v>0.69791666666667296</v>
      </c>
      <c r="B645" s="9" t="e">
        <f t="shared" si="19"/>
        <v>#N/A</v>
      </c>
      <c r="J645" s="9">
        <v>300</v>
      </c>
      <c r="K645" s="9">
        <v>140</v>
      </c>
      <c r="L645" s="9">
        <v>80</v>
      </c>
    </row>
    <row r="646" spans="1:12">
      <c r="A646" s="10">
        <v>0.70833333333334003</v>
      </c>
      <c r="B646" s="9" t="e">
        <f t="shared" si="19"/>
        <v>#N/A</v>
      </c>
      <c r="J646" s="9">
        <v>300</v>
      </c>
      <c r="K646" s="9">
        <v>140</v>
      </c>
      <c r="L646" s="9">
        <v>80</v>
      </c>
    </row>
    <row r="647" spans="1:12">
      <c r="A647" s="10">
        <v>0.71875000000000699</v>
      </c>
      <c r="B647" s="9" t="e">
        <f t="shared" si="19"/>
        <v>#N/A</v>
      </c>
      <c r="J647" s="9">
        <v>300</v>
      </c>
      <c r="K647" s="9">
        <v>140</v>
      </c>
      <c r="L647" s="9">
        <v>80</v>
      </c>
    </row>
    <row r="648" spans="1:12">
      <c r="A648" s="10">
        <v>0.72916666666667396</v>
      </c>
      <c r="B648" s="9" t="e">
        <f t="shared" si="19"/>
        <v>#N/A</v>
      </c>
      <c r="J648" s="9">
        <v>300</v>
      </c>
      <c r="K648" s="9">
        <v>140</v>
      </c>
      <c r="L648" s="9">
        <v>80</v>
      </c>
    </row>
    <row r="649" spans="1:12">
      <c r="A649" s="10">
        <v>0.73958333333334103</v>
      </c>
      <c r="B649" s="9" t="e">
        <f t="shared" si="19"/>
        <v>#N/A</v>
      </c>
      <c r="J649" s="9">
        <v>300</v>
      </c>
      <c r="K649" s="9">
        <v>140</v>
      </c>
      <c r="L649" s="9">
        <v>80</v>
      </c>
    </row>
    <row r="650" spans="1:12">
      <c r="A650" s="10">
        <v>0.75000000000000799</v>
      </c>
      <c r="B650" s="9" t="e">
        <f t="shared" si="19"/>
        <v>#N/A</v>
      </c>
      <c r="J650" s="9">
        <v>300</v>
      </c>
      <c r="K650" s="9">
        <v>140</v>
      </c>
      <c r="L650" s="9">
        <v>80</v>
      </c>
    </row>
    <row r="651" spans="1:12">
      <c r="A651" s="10">
        <v>0.76041666666667596</v>
      </c>
      <c r="B651" s="9" t="e">
        <f t="shared" si="19"/>
        <v>#N/A</v>
      </c>
      <c r="J651" s="9">
        <v>300</v>
      </c>
      <c r="K651" s="9">
        <v>140</v>
      </c>
      <c r="L651" s="9">
        <v>80</v>
      </c>
    </row>
    <row r="652" spans="1:12">
      <c r="A652" s="10">
        <v>0.77083333333334303</v>
      </c>
      <c r="B652" s="9" t="e">
        <f t="shared" si="19"/>
        <v>#N/A</v>
      </c>
      <c r="J652" s="9">
        <v>300</v>
      </c>
      <c r="K652" s="9">
        <v>140</v>
      </c>
      <c r="L652" s="9">
        <v>80</v>
      </c>
    </row>
    <row r="653" spans="1:12">
      <c r="A653" s="10">
        <v>0.78125000000000999</v>
      </c>
      <c r="B653" s="9" t="e">
        <f t="shared" si="19"/>
        <v>#N/A</v>
      </c>
      <c r="J653" s="9">
        <v>300</v>
      </c>
      <c r="K653" s="9">
        <v>140</v>
      </c>
      <c r="L653" s="9">
        <v>80</v>
      </c>
    </row>
    <row r="654" spans="1:12">
      <c r="A654" s="10">
        <v>0.79166666666667695</v>
      </c>
      <c r="B654" s="9" t="e">
        <f t="shared" si="19"/>
        <v>#N/A</v>
      </c>
      <c r="J654" s="9">
        <v>300</v>
      </c>
      <c r="K654" s="9">
        <v>140</v>
      </c>
      <c r="L654" s="9">
        <v>80</v>
      </c>
    </row>
    <row r="655" spans="1:12">
      <c r="A655" s="10">
        <v>0.80208333333334403</v>
      </c>
      <c r="B655" s="9" t="e">
        <f t="shared" si="19"/>
        <v>#N/A</v>
      </c>
      <c r="J655" s="9">
        <v>300</v>
      </c>
      <c r="K655" s="9">
        <v>140</v>
      </c>
      <c r="L655" s="9">
        <v>80</v>
      </c>
    </row>
    <row r="656" spans="1:12">
      <c r="A656" s="10">
        <v>0.81250000000001099</v>
      </c>
      <c r="B656" s="9" t="e">
        <f t="shared" si="19"/>
        <v>#N/A</v>
      </c>
      <c r="J656" s="9">
        <v>300</v>
      </c>
      <c r="K656" s="9">
        <v>140</v>
      </c>
      <c r="L656" s="9">
        <v>80</v>
      </c>
    </row>
    <row r="657" spans="1:12">
      <c r="A657" s="10">
        <v>0.82291666666667795</v>
      </c>
      <c r="B657" s="9" t="e">
        <f t="shared" si="19"/>
        <v>#N/A</v>
      </c>
      <c r="J657" s="9">
        <v>300</v>
      </c>
      <c r="K657" s="9">
        <v>140</v>
      </c>
      <c r="L657" s="9">
        <v>80</v>
      </c>
    </row>
    <row r="658" spans="1:12">
      <c r="A658" s="10">
        <v>0.83333333333334503</v>
      </c>
      <c r="B658" s="9" t="e">
        <f t="shared" si="19"/>
        <v>#N/A</v>
      </c>
      <c r="J658" s="9">
        <v>300</v>
      </c>
      <c r="K658" s="9">
        <v>140</v>
      </c>
      <c r="L658" s="9">
        <v>80</v>
      </c>
    </row>
    <row r="659" spans="1:12">
      <c r="A659" s="10">
        <v>0.84375000000001199</v>
      </c>
      <c r="B659" s="9" t="e">
        <f t="shared" si="19"/>
        <v>#N/A</v>
      </c>
      <c r="J659" s="9">
        <v>300</v>
      </c>
      <c r="K659" s="9">
        <v>140</v>
      </c>
      <c r="L659" s="9">
        <v>80</v>
      </c>
    </row>
    <row r="660" spans="1:12">
      <c r="A660" s="10">
        <v>0.85416666666667895</v>
      </c>
      <c r="B660" s="9" t="e">
        <f t="shared" si="19"/>
        <v>#N/A</v>
      </c>
      <c r="J660" s="9">
        <v>300</v>
      </c>
      <c r="K660" s="9">
        <v>140</v>
      </c>
      <c r="L660" s="9">
        <v>80</v>
      </c>
    </row>
    <row r="661" spans="1:12">
      <c r="A661" s="10">
        <v>0.86458333333334603</v>
      </c>
      <c r="B661" s="9" t="e">
        <f t="shared" si="19"/>
        <v>#N/A</v>
      </c>
      <c r="J661" s="9">
        <v>300</v>
      </c>
      <c r="K661" s="9">
        <v>140</v>
      </c>
      <c r="L661" s="9">
        <v>80</v>
      </c>
    </row>
    <row r="662" spans="1:12">
      <c r="A662" s="10">
        <v>0.87500000000001299</v>
      </c>
      <c r="B662" s="9" t="e">
        <f t="shared" si="19"/>
        <v>#N/A</v>
      </c>
      <c r="J662" s="9">
        <v>300</v>
      </c>
      <c r="K662" s="9">
        <v>140</v>
      </c>
      <c r="L662" s="9">
        <v>80</v>
      </c>
    </row>
    <row r="663" spans="1:12">
      <c r="A663" s="10">
        <v>0.88541666666667995</v>
      </c>
      <c r="B663" s="9" t="e">
        <f t="shared" si="19"/>
        <v>#N/A</v>
      </c>
      <c r="J663" s="9">
        <v>300</v>
      </c>
      <c r="K663" s="9">
        <v>140</v>
      </c>
      <c r="L663" s="9">
        <v>80</v>
      </c>
    </row>
    <row r="664" spans="1:12">
      <c r="A664" s="10">
        <v>0.89583333333334803</v>
      </c>
      <c r="B664" s="9" t="e">
        <f t="shared" si="19"/>
        <v>#N/A</v>
      </c>
      <c r="J664" s="9">
        <v>300</v>
      </c>
      <c r="K664" s="9">
        <v>140</v>
      </c>
      <c r="L664" s="9">
        <v>80</v>
      </c>
    </row>
    <row r="665" spans="1:12">
      <c r="A665" s="10">
        <v>0.90625000000001499</v>
      </c>
      <c r="B665" s="9" t="e">
        <f t="shared" si="19"/>
        <v>#N/A</v>
      </c>
      <c r="J665" s="9">
        <v>300</v>
      </c>
      <c r="K665" s="9">
        <v>140</v>
      </c>
      <c r="L665" s="9">
        <v>80</v>
      </c>
    </row>
    <row r="666" spans="1:12">
      <c r="A666" s="10">
        <v>0.91666666666668195</v>
      </c>
      <c r="B666" s="9" t="e">
        <f t="shared" si="19"/>
        <v>#N/A</v>
      </c>
      <c r="J666" s="9">
        <v>300</v>
      </c>
      <c r="K666" s="9">
        <v>140</v>
      </c>
      <c r="L666" s="9">
        <v>80</v>
      </c>
    </row>
    <row r="667" spans="1:12">
      <c r="A667" s="10">
        <v>0.92708333333334902</v>
      </c>
      <c r="B667" s="9" t="e">
        <f t="shared" ref="B667:B697" si="20">G67</f>
        <v>#N/A</v>
      </c>
      <c r="J667" s="9">
        <v>300</v>
      </c>
      <c r="K667" s="9">
        <v>140</v>
      </c>
      <c r="L667" s="9">
        <v>80</v>
      </c>
    </row>
    <row r="668" spans="1:12">
      <c r="A668" s="10">
        <v>0.93750000000001599</v>
      </c>
      <c r="B668" s="9" t="e">
        <f t="shared" si="20"/>
        <v>#N/A</v>
      </c>
      <c r="J668" s="9">
        <v>300</v>
      </c>
      <c r="K668" s="9">
        <v>140</v>
      </c>
      <c r="L668" s="9">
        <v>80</v>
      </c>
    </row>
    <row r="669" spans="1:12">
      <c r="A669" s="10">
        <v>0.94791666666668295</v>
      </c>
      <c r="B669" s="9" t="e">
        <f t="shared" si="20"/>
        <v>#N/A</v>
      </c>
      <c r="J669" s="9">
        <v>300</v>
      </c>
      <c r="K669" s="9">
        <v>140</v>
      </c>
      <c r="L669" s="9">
        <v>80</v>
      </c>
    </row>
    <row r="670" spans="1:12">
      <c r="A670" s="10">
        <v>0.95833333333335002</v>
      </c>
      <c r="B670" s="9" t="e">
        <f t="shared" si="20"/>
        <v>#N/A</v>
      </c>
      <c r="J670" s="9">
        <v>300</v>
      </c>
      <c r="K670" s="9">
        <v>140</v>
      </c>
      <c r="L670" s="9">
        <v>80</v>
      </c>
    </row>
    <row r="671" spans="1:12">
      <c r="A671" s="10">
        <v>0.96875000000001699</v>
      </c>
      <c r="B671" s="9" t="e">
        <f t="shared" si="20"/>
        <v>#N/A</v>
      </c>
      <c r="J671" s="9">
        <v>300</v>
      </c>
      <c r="K671" s="9">
        <v>140</v>
      </c>
      <c r="L671" s="9">
        <v>80</v>
      </c>
    </row>
    <row r="672" spans="1:12">
      <c r="A672" s="10">
        <v>0.97916666666668395</v>
      </c>
      <c r="B672" s="9" t="e">
        <f t="shared" si="20"/>
        <v>#N/A</v>
      </c>
      <c r="J672" s="9">
        <v>300</v>
      </c>
      <c r="K672" s="9">
        <v>140</v>
      </c>
      <c r="L672" s="9">
        <v>80</v>
      </c>
    </row>
    <row r="673" spans="1:12">
      <c r="A673" s="10">
        <v>0.98958333333335102</v>
      </c>
      <c r="B673" s="9" t="e">
        <f t="shared" si="20"/>
        <v>#N/A</v>
      </c>
      <c r="J673" s="9">
        <v>300</v>
      </c>
      <c r="K673" s="9">
        <v>140</v>
      </c>
      <c r="L673" s="9">
        <v>80</v>
      </c>
    </row>
    <row r="674" spans="1:12">
      <c r="A674" s="10">
        <v>1.00000000000002</v>
      </c>
      <c r="B674" s="9" t="e">
        <f t="shared" si="20"/>
        <v>#N/A</v>
      </c>
      <c r="J674" s="9">
        <v>300</v>
      </c>
      <c r="K674" s="9">
        <v>140</v>
      </c>
      <c r="L674" s="9">
        <v>80</v>
      </c>
    </row>
    <row r="675" spans="1:12">
      <c r="A675" s="10">
        <v>1.0104166666666801</v>
      </c>
      <c r="B675" s="9" t="e">
        <f t="shared" si="20"/>
        <v>#N/A</v>
      </c>
      <c r="J675" s="9">
        <v>300</v>
      </c>
      <c r="K675" s="9">
        <v>140</v>
      </c>
      <c r="L675" s="9">
        <v>80</v>
      </c>
    </row>
    <row r="676" spans="1:12">
      <c r="A676" s="10">
        <v>1.0208333333333499</v>
      </c>
      <c r="B676" s="9" t="e">
        <f t="shared" si="20"/>
        <v>#N/A</v>
      </c>
      <c r="J676" s="9">
        <v>300</v>
      </c>
      <c r="K676" s="9">
        <v>140</v>
      </c>
      <c r="L676" s="9">
        <v>80</v>
      </c>
    </row>
    <row r="677" spans="1:12">
      <c r="A677" s="10">
        <v>1.03125000000002</v>
      </c>
      <c r="B677" s="9" t="e">
        <f t="shared" si="20"/>
        <v>#N/A</v>
      </c>
      <c r="J677" s="9">
        <v>300</v>
      </c>
      <c r="K677" s="9">
        <v>140</v>
      </c>
      <c r="L677" s="9">
        <v>80</v>
      </c>
    </row>
    <row r="678" spans="1:12">
      <c r="A678" s="10">
        <v>1.0416666666666901</v>
      </c>
      <c r="B678" s="9" t="e">
        <f t="shared" si="20"/>
        <v>#N/A</v>
      </c>
      <c r="J678" s="9">
        <v>300</v>
      </c>
      <c r="K678" s="9">
        <v>140</v>
      </c>
      <c r="L678" s="9">
        <v>80</v>
      </c>
    </row>
    <row r="679" spans="1:12">
      <c r="A679" s="10">
        <v>1.0520833333333499</v>
      </c>
      <c r="B679" s="9" t="e">
        <f t="shared" si="20"/>
        <v>#N/A</v>
      </c>
      <c r="J679" s="9">
        <v>300</v>
      </c>
      <c r="K679" s="9">
        <v>140</v>
      </c>
      <c r="L679" s="9">
        <v>80</v>
      </c>
    </row>
    <row r="680" spans="1:12">
      <c r="A680" s="10">
        <v>1.06250000000002</v>
      </c>
      <c r="B680" s="9" t="e">
        <f t="shared" si="20"/>
        <v>#N/A</v>
      </c>
      <c r="J680" s="9">
        <v>300</v>
      </c>
      <c r="K680" s="9">
        <v>140</v>
      </c>
      <c r="L680" s="9">
        <v>80</v>
      </c>
    </row>
    <row r="681" spans="1:12">
      <c r="A681" s="10">
        <v>1.0729166666666901</v>
      </c>
      <c r="B681" s="9" t="e">
        <f t="shared" si="20"/>
        <v>#N/A</v>
      </c>
      <c r="J681" s="9">
        <v>300</v>
      </c>
      <c r="K681" s="9">
        <v>140</v>
      </c>
      <c r="L681" s="9">
        <v>80</v>
      </c>
    </row>
    <row r="682" spans="1:12">
      <c r="A682" s="10">
        <v>1.0833333333333499</v>
      </c>
      <c r="B682" s="9" t="e">
        <f t="shared" si="20"/>
        <v>#N/A</v>
      </c>
      <c r="J682" s="9">
        <v>300</v>
      </c>
      <c r="K682" s="9">
        <v>140</v>
      </c>
      <c r="L682" s="9">
        <v>80</v>
      </c>
    </row>
    <row r="683" spans="1:12">
      <c r="A683" s="10">
        <v>1.09375000000002</v>
      </c>
      <c r="B683" s="9" t="e">
        <f t="shared" si="20"/>
        <v>#N/A</v>
      </c>
      <c r="J683" s="9">
        <v>300</v>
      </c>
      <c r="K683" s="9">
        <v>140</v>
      </c>
      <c r="L683" s="9">
        <v>80</v>
      </c>
    </row>
    <row r="684" spans="1:12">
      <c r="A684" s="10">
        <v>1.1041666666666901</v>
      </c>
      <c r="B684" s="9" t="e">
        <f t="shared" si="20"/>
        <v>#N/A</v>
      </c>
      <c r="J684" s="9">
        <v>300</v>
      </c>
      <c r="K684" s="9">
        <v>140</v>
      </c>
      <c r="L684" s="9">
        <v>80</v>
      </c>
    </row>
    <row r="685" spans="1:12">
      <c r="A685" s="10">
        <v>1.1145833333333599</v>
      </c>
      <c r="B685" s="9" t="e">
        <f t="shared" si="20"/>
        <v>#N/A</v>
      </c>
      <c r="J685" s="9">
        <v>300</v>
      </c>
      <c r="K685" s="9">
        <v>140</v>
      </c>
      <c r="L685" s="9">
        <v>80</v>
      </c>
    </row>
    <row r="686" spans="1:12">
      <c r="A686" s="10">
        <v>1.12500000000002</v>
      </c>
      <c r="B686" s="9" t="e">
        <f t="shared" si="20"/>
        <v>#N/A</v>
      </c>
      <c r="J686" s="9">
        <v>300</v>
      </c>
      <c r="K686" s="9">
        <v>140</v>
      </c>
      <c r="L686" s="9">
        <v>80</v>
      </c>
    </row>
    <row r="687" spans="1:12">
      <c r="A687" s="10">
        <v>1.1354166666666901</v>
      </c>
      <c r="B687" s="9" t="e">
        <f t="shared" si="20"/>
        <v>#N/A</v>
      </c>
      <c r="J687" s="9">
        <v>300</v>
      </c>
      <c r="K687" s="9">
        <v>140</v>
      </c>
      <c r="L687" s="9">
        <v>80</v>
      </c>
    </row>
    <row r="688" spans="1:12">
      <c r="A688" s="10">
        <v>1.1458333333333599</v>
      </c>
      <c r="B688" s="9" t="e">
        <f t="shared" si="20"/>
        <v>#N/A</v>
      </c>
      <c r="J688" s="9">
        <v>300</v>
      </c>
      <c r="K688" s="9">
        <v>140</v>
      </c>
      <c r="L688" s="9">
        <v>80</v>
      </c>
    </row>
    <row r="689" spans="1:12">
      <c r="A689" s="10">
        <v>1.15625000000002</v>
      </c>
      <c r="B689" s="9" t="e">
        <f t="shared" si="20"/>
        <v>#N/A</v>
      </c>
      <c r="J689" s="9">
        <v>300</v>
      </c>
      <c r="K689" s="9">
        <v>140</v>
      </c>
      <c r="L689" s="9">
        <v>80</v>
      </c>
    </row>
    <row r="690" spans="1:12">
      <c r="A690" s="10">
        <v>1.1666666666666901</v>
      </c>
      <c r="B690" s="9" t="e">
        <f t="shared" si="20"/>
        <v>#N/A</v>
      </c>
      <c r="J690" s="9">
        <v>300</v>
      </c>
      <c r="K690" s="9">
        <v>140</v>
      </c>
      <c r="L690" s="9">
        <v>80</v>
      </c>
    </row>
    <row r="691" spans="1:12">
      <c r="A691" s="10">
        <v>1.1770833333333599</v>
      </c>
      <c r="B691" s="9" t="e">
        <f t="shared" si="20"/>
        <v>#N/A</v>
      </c>
      <c r="J691" s="9">
        <v>300</v>
      </c>
      <c r="K691" s="9">
        <v>140</v>
      </c>
      <c r="L691" s="9">
        <v>80</v>
      </c>
    </row>
    <row r="692" spans="1:12">
      <c r="A692" s="10">
        <v>1.18750000000003</v>
      </c>
      <c r="B692" s="9" t="e">
        <f t="shared" si="20"/>
        <v>#N/A</v>
      </c>
      <c r="J692" s="9">
        <v>300</v>
      </c>
      <c r="K692" s="9">
        <v>140</v>
      </c>
      <c r="L692" s="9">
        <v>80</v>
      </c>
    </row>
    <row r="693" spans="1:12">
      <c r="A693" s="10">
        <v>1.1979166666666901</v>
      </c>
      <c r="B693" s="9" t="e">
        <f t="shared" si="20"/>
        <v>#N/A</v>
      </c>
      <c r="J693" s="9">
        <v>300</v>
      </c>
      <c r="K693" s="9">
        <v>140</v>
      </c>
      <c r="L693" s="9">
        <v>80</v>
      </c>
    </row>
    <row r="694" spans="1:12">
      <c r="A694" s="10">
        <v>1.2083333333333599</v>
      </c>
      <c r="B694" s="9" t="e">
        <f t="shared" si="20"/>
        <v>#N/A</v>
      </c>
      <c r="J694" s="9">
        <v>300</v>
      </c>
      <c r="K694" s="9">
        <v>140</v>
      </c>
      <c r="L694" s="9">
        <v>80</v>
      </c>
    </row>
    <row r="695" spans="1:12">
      <c r="A695" s="10">
        <v>1.21875000000003</v>
      </c>
      <c r="B695" s="9" t="e">
        <f t="shared" si="20"/>
        <v>#N/A</v>
      </c>
      <c r="J695" s="9">
        <v>300</v>
      </c>
      <c r="K695" s="9">
        <v>140</v>
      </c>
      <c r="L695" s="9">
        <v>80</v>
      </c>
    </row>
    <row r="696" spans="1:12">
      <c r="A696" s="10">
        <v>1.2291666666666901</v>
      </c>
      <c r="B696" s="9" t="e">
        <f t="shared" si="20"/>
        <v>#N/A</v>
      </c>
      <c r="J696" s="9">
        <v>300</v>
      </c>
      <c r="K696" s="9">
        <v>140</v>
      </c>
      <c r="L696" s="9">
        <v>80</v>
      </c>
    </row>
    <row r="697" spans="1:12">
      <c r="A697" s="10">
        <v>1.2395833333333599</v>
      </c>
      <c r="B697" s="9" t="e">
        <f t="shared" si="20"/>
        <v>#N/A</v>
      </c>
      <c r="J697" s="9">
        <v>300</v>
      </c>
      <c r="K697" s="9">
        <v>140</v>
      </c>
      <c r="L697" s="9">
        <v>80</v>
      </c>
    </row>
    <row r="698" spans="1:12">
      <c r="A698" s="10">
        <v>0.25</v>
      </c>
      <c r="B698" s="9" t="e">
        <f>H2</f>
        <v>#N/A</v>
      </c>
      <c r="J698" s="9">
        <v>300</v>
      </c>
      <c r="K698" s="9">
        <v>140</v>
      </c>
      <c r="L698" s="9">
        <v>80</v>
      </c>
    </row>
    <row r="699" spans="1:12">
      <c r="A699" s="10">
        <v>0.26041666666666669</v>
      </c>
      <c r="B699" s="9" t="e">
        <f t="shared" ref="B699:B762" si="21">H3</f>
        <v>#N/A</v>
      </c>
      <c r="J699" s="9">
        <v>300</v>
      </c>
      <c r="K699" s="9">
        <v>140</v>
      </c>
      <c r="L699" s="9">
        <v>80</v>
      </c>
    </row>
    <row r="700" spans="1:12">
      <c r="A700" s="10">
        <v>0.27083333333333331</v>
      </c>
      <c r="B700" s="9" t="e">
        <f t="shared" si="21"/>
        <v>#N/A</v>
      </c>
      <c r="J700" s="9">
        <v>300</v>
      </c>
      <c r="K700" s="9">
        <v>140</v>
      </c>
      <c r="L700" s="9">
        <v>80</v>
      </c>
    </row>
    <row r="701" spans="1:12">
      <c r="A701" s="10">
        <v>0.28125</v>
      </c>
      <c r="B701" s="9" t="e">
        <f t="shared" si="21"/>
        <v>#N/A</v>
      </c>
      <c r="J701" s="9">
        <v>300</v>
      </c>
      <c r="K701" s="9">
        <v>140</v>
      </c>
      <c r="L701" s="9">
        <v>80</v>
      </c>
    </row>
    <row r="702" spans="1:12">
      <c r="A702" s="10">
        <v>0.29166666666666702</v>
      </c>
      <c r="B702" s="9" t="e">
        <f t="shared" si="21"/>
        <v>#N/A</v>
      </c>
      <c r="J702" s="9">
        <v>300</v>
      </c>
      <c r="K702" s="9">
        <v>140</v>
      </c>
      <c r="L702" s="9">
        <v>80</v>
      </c>
    </row>
    <row r="703" spans="1:12">
      <c r="A703" s="10">
        <v>0.30208333333333298</v>
      </c>
      <c r="B703" s="9" t="e">
        <f t="shared" si="21"/>
        <v>#N/A</v>
      </c>
      <c r="J703" s="9">
        <v>300</v>
      </c>
      <c r="K703" s="9">
        <v>140</v>
      </c>
      <c r="L703" s="9">
        <v>80</v>
      </c>
    </row>
    <row r="704" spans="1:12">
      <c r="A704" s="10">
        <v>0.3125</v>
      </c>
      <c r="B704" s="9" t="e">
        <f t="shared" si="21"/>
        <v>#N/A</v>
      </c>
      <c r="J704" s="9">
        <v>300</v>
      </c>
      <c r="K704" s="9">
        <v>140</v>
      </c>
      <c r="L704" s="9">
        <v>80</v>
      </c>
    </row>
    <row r="705" spans="1:12">
      <c r="A705" s="10">
        <v>0.32291666666666702</v>
      </c>
      <c r="B705" s="9" t="e">
        <f t="shared" si="21"/>
        <v>#N/A</v>
      </c>
      <c r="J705" s="9">
        <v>300</v>
      </c>
      <c r="K705" s="9">
        <v>140</v>
      </c>
      <c r="L705" s="9">
        <v>80</v>
      </c>
    </row>
    <row r="706" spans="1:12">
      <c r="A706" s="10">
        <v>0.33333333333333298</v>
      </c>
      <c r="B706" s="9" t="e">
        <f t="shared" si="21"/>
        <v>#N/A</v>
      </c>
      <c r="J706" s="9">
        <v>300</v>
      </c>
      <c r="K706" s="9">
        <v>140</v>
      </c>
      <c r="L706" s="9">
        <v>80</v>
      </c>
    </row>
    <row r="707" spans="1:12">
      <c r="A707" s="10">
        <v>0.34375</v>
      </c>
      <c r="B707" s="9" t="e">
        <f t="shared" si="21"/>
        <v>#N/A</v>
      </c>
      <c r="J707" s="9">
        <v>300</v>
      </c>
      <c r="K707" s="9">
        <v>140</v>
      </c>
      <c r="L707" s="9">
        <v>80</v>
      </c>
    </row>
    <row r="708" spans="1:12">
      <c r="A708" s="10">
        <v>0.35416666666666702</v>
      </c>
      <c r="B708" s="9" t="e">
        <f t="shared" si="21"/>
        <v>#N/A</v>
      </c>
      <c r="J708" s="9">
        <v>300</v>
      </c>
      <c r="K708" s="9">
        <v>140</v>
      </c>
      <c r="L708" s="9">
        <v>80</v>
      </c>
    </row>
    <row r="709" spans="1:12">
      <c r="A709" s="10">
        <v>0.36458333333333398</v>
      </c>
      <c r="B709" s="9" t="e">
        <f t="shared" si="21"/>
        <v>#N/A</v>
      </c>
      <c r="J709" s="9">
        <v>300</v>
      </c>
      <c r="K709" s="9">
        <v>140</v>
      </c>
      <c r="L709" s="9">
        <v>80</v>
      </c>
    </row>
    <row r="710" spans="1:12">
      <c r="A710" s="10">
        <v>0.375</v>
      </c>
      <c r="B710" s="9" t="e">
        <f t="shared" si="21"/>
        <v>#N/A</v>
      </c>
      <c r="J710" s="9">
        <v>300</v>
      </c>
      <c r="K710" s="9">
        <v>140</v>
      </c>
      <c r="L710" s="9">
        <v>80</v>
      </c>
    </row>
    <row r="711" spans="1:12">
      <c r="A711" s="10">
        <v>0.38541666666666702</v>
      </c>
      <c r="B711" s="9" t="e">
        <f t="shared" si="21"/>
        <v>#N/A</v>
      </c>
      <c r="J711" s="9">
        <v>300</v>
      </c>
      <c r="K711" s="9">
        <v>140</v>
      </c>
      <c r="L711" s="9">
        <v>80</v>
      </c>
    </row>
    <row r="712" spans="1:12">
      <c r="A712" s="10">
        <v>0.39583333333333398</v>
      </c>
      <c r="B712" s="9" t="e">
        <f t="shared" si="21"/>
        <v>#N/A</v>
      </c>
      <c r="J712" s="9">
        <v>300</v>
      </c>
      <c r="K712" s="9">
        <v>140</v>
      </c>
      <c r="L712" s="9">
        <v>80</v>
      </c>
    </row>
    <row r="713" spans="1:12">
      <c r="A713" s="10">
        <v>0.40625</v>
      </c>
      <c r="B713" s="9" t="e">
        <f t="shared" si="21"/>
        <v>#N/A</v>
      </c>
      <c r="J713" s="9">
        <v>300</v>
      </c>
      <c r="K713" s="9">
        <v>140</v>
      </c>
      <c r="L713" s="9">
        <v>80</v>
      </c>
    </row>
    <row r="714" spans="1:12">
      <c r="A714" s="10">
        <v>0.41666666666666702</v>
      </c>
      <c r="B714" s="9" t="e">
        <f t="shared" si="21"/>
        <v>#N/A</v>
      </c>
      <c r="J714" s="9">
        <v>300</v>
      </c>
      <c r="K714" s="9">
        <v>140</v>
      </c>
      <c r="L714" s="9">
        <v>80</v>
      </c>
    </row>
    <row r="715" spans="1:12">
      <c r="A715" s="10">
        <v>0.42708333333333398</v>
      </c>
      <c r="B715" s="9" t="e">
        <f t="shared" si="21"/>
        <v>#N/A</v>
      </c>
      <c r="J715" s="9">
        <v>300</v>
      </c>
      <c r="K715" s="9">
        <v>140</v>
      </c>
      <c r="L715" s="9">
        <v>80</v>
      </c>
    </row>
    <row r="716" spans="1:12">
      <c r="A716" s="10">
        <v>0.4375</v>
      </c>
      <c r="B716" s="9" t="e">
        <f t="shared" si="21"/>
        <v>#N/A</v>
      </c>
      <c r="J716" s="9">
        <v>300</v>
      </c>
      <c r="K716" s="9">
        <v>140</v>
      </c>
      <c r="L716" s="9">
        <v>80</v>
      </c>
    </row>
    <row r="717" spans="1:12">
      <c r="A717" s="10">
        <v>0.44791666666666702</v>
      </c>
      <c r="B717" s="9" t="e">
        <f t="shared" si="21"/>
        <v>#N/A</v>
      </c>
      <c r="J717" s="9">
        <v>300</v>
      </c>
      <c r="K717" s="9">
        <v>140</v>
      </c>
      <c r="L717" s="9">
        <v>80</v>
      </c>
    </row>
    <row r="718" spans="1:12">
      <c r="A718" s="10">
        <v>0.45833333333333398</v>
      </c>
      <c r="B718" s="9" t="e">
        <f t="shared" si="21"/>
        <v>#N/A</v>
      </c>
      <c r="J718" s="9">
        <v>300</v>
      </c>
      <c r="K718" s="9">
        <v>140</v>
      </c>
      <c r="L718" s="9">
        <v>80</v>
      </c>
    </row>
    <row r="719" spans="1:12">
      <c r="A719" s="10">
        <v>0.46875</v>
      </c>
      <c r="B719" s="9" t="e">
        <f t="shared" si="21"/>
        <v>#N/A</v>
      </c>
      <c r="J719" s="9">
        <v>300</v>
      </c>
      <c r="K719" s="9">
        <v>140</v>
      </c>
      <c r="L719" s="9">
        <v>80</v>
      </c>
    </row>
    <row r="720" spans="1:12">
      <c r="A720" s="10">
        <v>0.47916666666666702</v>
      </c>
      <c r="B720" s="9" t="e">
        <f t="shared" si="21"/>
        <v>#N/A</v>
      </c>
      <c r="J720" s="9">
        <v>300</v>
      </c>
      <c r="K720" s="9">
        <v>140</v>
      </c>
      <c r="L720" s="9">
        <v>80</v>
      </c>
    </row>
    <row r="721" spans="1:12">
      <c r="A721" s="10">
        <v>0.48958333333333398</v>
      </c>
      <c r="B721" s="9" t="e">
        <f t="shared" si="21"/>
        <v>#N/A</v>
      </c>
      <c r="J721" s="9">
        <v>300</v>
      </c>
      <c r="K721" s="9">
        <v>140</v>
      </c>
      <c r="L721" s="9">
        <v>80</v>
      </c>
    </row>
    <row r="722" spans="1:12">
      <c r="A722" s="10">
        <v>0.5</v>
      </c>
      <c r="B722" s="9" t="e">
        <f t="shared" si="21"/>
        <v>#N/A</v>
      </c>
      <c r="J722" s="9">
        <v>300</v>
      </c>
      <c r="K722" s="9">
        <v>140</v>
      </c>
      <c r="L722" s="9">
        <v>80</v>
      </c>
    </row>
    <row r="723" spans="1:12">
      <c r="A723" s="10">
        <v>0.51041666666666696</v>
      </c>
      <c r="B723" s="9" t="e">
        <f t="shared" si="21"/>
        <v>#N/A</v>
      </c>
      <c r="J723" s="9">
        <v>300</v>
      </c>
      <c r="K723" s="9">
        <v>140</v>
      </c>
      <c r="L723" s="9">
        <v>80</v>
      </c>
    </row>
    <row r="724" spans="1:12">
      <c r="A724" s="10">
        <v>0.52083333333333404</v>
      </c>
      <c r="B724" s="9" t="e">
        <f t="shared" si="21"/>
        <v>#N/A</v>
      </c>
      <c r="J724" s="9">
        <v>300</v>
      </c>
      <c r="K724" s="9">
        <v>140</v>
      </c>
      <c r="L724" s="9">
        <v>80</v>
      </c>
    </row>
    <row r="725" spans="1:12">
      <c r="A725" s="10">
        <v>0.53125</v>
      </c>
      <c r="B725" s="9" t="e">
        <f t="shared" si="21"/>
        <v>#N/A</v>
      </c>
      <c r="J725" s="9">
        <v>300</v>
      </c>
      <c r="K725" s="9">
        <v>140</v>
      </c>
      <c r="L725" s="9">
        <v>80</v>
      </c>
    </row>
    <row r="726" spans="1:12">
      <c r="A726" s="10">
        <v>0.54166666666666696</v>
      </c>
      <c r="B726" s="9" t="e">
        <f t="shared" si="21"/>
        <v>#N/A</v>
      </c>
      <c r="J726" s="9">
        <v>300</v>
      </c>
      <c r="K726" s="9">
        <v>140</v>
      </c>
      <c r="L726" s="9">
        <v>80</v>
      </c>
    </row>
    <row r="727" spans="1:12">
      <c r="A727" s="10">
        <v>0.55208333333333404</v>
      </c>
      <c r="B727" s="9" t="e">
        <f t="shared" si="21"/>
        <v>#N/A</v>
      </c>
      <c r="J727" s="9">
        <v>300</v>
      </c>
      <c r="K727" s="9">
        <v>140</v>
      </c>
      <c r="L727" s="9">
        <v>80</v>
      </c>
    </row>
    <row r="728" spans="1:12">
      <c r="A728" s="10">
        <v>0.562500000000001</v>
      </c>
      <c r="B728" s="9" t="e">
        <f t="shared" si="21"/>
        <v>#N/A</v>
      </c>
      <c r="J728" s="9">
        <v>300</v>
      </c>
      <c r="K728" s="9">
        <v>140</v>
      </c>
      <c r="L728" s="9">
        <v>80</v>
      </c>
    </row>
    <row r="729" spans="1:12">
      <c r="A729" s="10">
        <v>0.57291666666666696</v>
      </c>
      <c r="B729" s="9" t="e">
        <f t="shared" si="21"/>
        <v>#N/A</v>
      </c>
      <c r="J729" s="9">
        <v>300</v>
      </c>
      <c r="K729" s="9">
        <v>140</v>
      </c>
      <c r="L729" s="9">
        <v>80</v>
      </c>
    </row>
    <row r="730" spans="1:12">
      <c r="A730" s="10">
        <v>0.58333333333333504</v>
      </c>
      <c r="B730" s="9" t="e">
        <f t="shared" si="21"/>
        <v>#N/A</v>
      </c>
      <c r="J730" s="9">
        <v>300</v>
      </c>
      <c r="K730" s="9">
        <v>140</v>
      </c>
      <c r="L730" s="9">
        <v>80</v>
      </c>
    </row>
    <row r="731" spans="1:12">
      <c r="A731" s="10">
        <v>0.593750000000002</v>
      </c>
      <c r="B731" s="9" t="e">
        <f t="shared" si="21"/>
        <v>#N/A</v>
      </c>
      <c r="J731" s="9">
        <v>300</v>
      </c>
      <c r="K731" s="9">
        <v>140</v>
      </c>
      <c r="L731" s="9">
        <v>80</v>
      </c>
    </row>
    <row r="732" spans="1:12">
      <c r="A732" s="10">
        <v>0.60416666666666896</v>
      </c>
      <c r="B732" s="9" t="e">
        <f t="shared" si="21"/>
        <v>#N/A</v>
      </c>
      <c r="J732" s="9">
        <v>300</v>
      </c>
      <c r="K732" s="9">
        <v>140</v>
      </c>
      <c r="L732" s="9">
        <v>80</v>
      </c>
    </row>
    <row r="733" spans="1:12">
      <c r="A733" s="10">
        <v>0.61458333333333603</v>
      </c>
      <c r="B733" s="9" t="e">
        <f t="shared" si="21"/>
        <v>#N/A</v>
      </c>
      <c r="J733" s="9">
        <v>300</v>
      </c>
      <c r="K733" s="9">
        <v>140</v>
      </c>
      <c r="L733" s="9">
        <v>80</v>
      </c>
    </row>
    <row r="734" spans="1:12">
      <c r="A734" s="10">
        <v>0.625000000000004</v>
      </c>
      <c r="B734" s="9" t="e">
        <f t="shared" si="21"/>
        <v>#N/A</v>
      </c>
      <c r="J734" s="9">
        <v>300</v>
      </c>
      <c r="K734" s="9">
        <v>140</v>
      </c>
      <c r="L734" s="9">
        <v>80</v>
      </c>
    </row>
    <row r="735" spans="1:12">
      <c r="A735" s="10">
        <v>0.63541666666667096</v>
      </c>
      <c r="B735" s="9" t="e">
        <f t="shared" si="21"/>
        <v>#N/A</v>
      </c>
      <c r="J735" s="9">
        <v>300</v>
      </c>
      <c r="K735" s="9">
        <v>140</v>
      </c>
      <c r="L735" s="9">
        <v>80</v>
      </c>
    </row>
    <row r="736" spans="1:12">
      <c r="A736" s="10">
        <v>0.64583333333333803</v>
      </c>
      <c r="B736" s="9" t="e">
        <f t="shared" si="21"/>
        <v>#N/A</v>
      </c>
      <c r="J736" s="9">
        <v>300</v>
      </c>
      <c r="K736" s="9">
        <v>140</v>
      </c>
      <c r="L736" s="9">
        <v>80</v>
      </c>
    </row>
    <row r="737" spans="1:12">
      <c r="A737" s="10">
        <v>0.656250000000005</v>
      </c>
      <c r="B737" s="9" t="e">
        <f t="shared" si="21"/>
        <v>#N/A</v>
      </c>
      <c r="J737" s="9">
        <v>300</v>
      </c>
      <c r="K737" s="9">
        <v>140</v>
      </c>
      <c r="L737" s="9">
        <v>80</v>
      </c>
    </row>
    <row r="738" spans="1:12">
      <c r="A738" s="10">
        <v>0.66666666666667196</v>
      </c>
      <c r="B738" s="9" t="e">
        <f t="shared" si="21"/>
        <v>#N/A</v>
      </c>
      <c r="J738" s="9">
        <v>300</v>
      </c>
      <c r="K738" s="9">
        <v>140</v>
      </c>
      <c r="L738" s="9">
        <v>80</v>
      </c>
    </row>
    <row r="739" spans="1:12">
      <c r="A739" s="10">
        <v>0.67708333333333903</v>
      </c>
      <c r="B739" s="9" t="e">
        <f t="shared" si="21"/>
        <v>#N/A</v>
      </c>
      <c r="J739" s="9">
        <v>300</v>
      </c>
      <c r="K739" s="9">
        <v>140</v>
      </c>
      <c r="L739" s="9">
        <v>80</v>
      </c>
    </row>
    <row r="740" spans="1:12">
      <c r="A740" s="10">
        <v>0.687500000000006</v>
      </c>
      <c r="B740" s="9" t="e">
        <f t="shared" si="21"/>
        <v>#N/A</v>
      </c>
      <c r="J740" s="9">
        <v>300</v>
      </c>
      <c r="K740" s="9">
        <v>140</v>
      </c>
      <c r="L740" s="9">
        <v>80</v>
      </c>
    </row>
    <row r="741" spans="1:12">
      <c r="A741" s="10">
        <v>0.69791666666667296</v>
      </c>
      <c r="B741" s="9" t="e">
        <f t="shared" si="21"/>
        <v>#N/A</v>
      </c>
      <c r="J741" s="9">
        <v>300</v>
      </c>
      <c r="K741" s="9">
        <v>140</v>
      </c>
      <c r="L741" s="9">
        <v>80</v>
      </c>
    </row>
    <row r="742" spans="1:12">
      <c r="A742" s="10">
        <v>0.70833333333334003</v>
      </c>
      <c r="B742" s="9" t="e">
        <f t="shared" si="21"/>
        <v>#N/A</v>
      </c>
      <c r="J742" s="9">
        <v>300</v>
      </c>
      <c r="K742" s="9">
        <v>140</v>
      </c>
      <c r="L742" s="9">
        <v>80</v>
      </c>
    </row>
    <row r="743" spans="1:12">
      <c r="A743" s="10">
        <v>0.71875000000000699</v>
      </c>
      <c r="B743" s="9" t="e">
        <f t="shared" si="21"/>
        <v>#N/A</v>
      </c>
      <c r="J743" s="9">
        <v>300</v>
      </c>
      <c r="K743" s="9">
        <v>140</v>
      </c>
      <c r="L743" s="9">
        <v>80</v>
      </c>
    </row>
    <row r="744" spans="1:12">
      <c r="A744" s="10">
        <v>0.72916666666667396</v>
      </c>
      <c r="B744" s="9" t="e">
        <f t="shared" si="21"/>
        <v>#N/A</v>
      </c>
      <c r="J744" s="9">
        <v>300</v>
      </c>
      <c r="K744" s="9">
        <v>140</v>
      </c>
      <c r="L744" s="9">
        <v>80</v>
      </c>
    </row>
    <row r="745" spans="1:12">
      <c r="A745" s="10">
        <v>0.73958333333334103</v>
      </c>
      <c r="B745" s="9" t="e">
        <f t="shared" si="21"/>
        <v>#N/A</v>
      </c>
      <c r="J745" s="9">
        <v>300</v>
      </c>
      <c r="K745" s="9">
        <v>140</v>
      </c>
      <c r="L745" s="9">
        <v>80</v>
      </c>
    </row>
    <row r="746" spans="1:12">
      <c r="A746" s="10">
        <v>0.75000000000000799</v>
      </c>
      <c r="B746" s="9" t="e">
        <f t="shared" si="21"/>
        <v>#N/A</v>
      </c>
      <c r="J746" s="9">
        <v>300</v>
      </c>
      <c r="K746" s="9">
        <v>140</v>
      </c>
      <c r="L746" s="9">
        <v>80</v>
      </c>
    </row>
    <row r="747" spans="1:12">
      <c r="A747" s="10">
        <v>0.76041666666667596</v>
      </c>
      <c r="B747" s="9" t="e">
        <f t="shared" si="21"/>
        <v>#N/A</v>
      </c>
      <c r="J747" s="9">
        <v>300</v>
      </c>
      <c r="K747" s="9">
        <v>140</v>
      </c>
      <c r="L747" s="9">
        <v>80</v>
      </c>
    </row>
    <row r="748" spans="1:12">
      <c r="A748" s="10">
        <v>0.77083333333334303</v>
      </c>
      <c r="B748" s="9" t="e">
        <f t="shared" si="21"/>
        <v>#N/A</v>
      </c>
      <c r="J748" s="9">
        <v>300</v>
      </c>
      <c r="K748" s="9">
        <v>140</v>
      </c>
      <c r="L748" s="9">
        <v>80</v>
      </c>
    </row>
    <row r="749" spans="1:12">
      <c r="A749" s="10">
        <v>0.78125000000000999</v>
      </c>
      <c r="B749" s="9" t="e">
        <f t="shared" si="21"/>
        <v>#N/A</v>
      </c>
      <c r="J749" s="9">
        <v>300</v>
      </c>
      <c r="K749" s="9">
        <v>140</v>
      </c>
      <c r="L749" s="9">
        <v>80</v>
      </c>
    </row>
    <row r="750" spans="1:12">
      <c r="A750" s="10">
        <v>0.79166666666667695</v>
      </c>
      <c r="B750" s="9" t="e">
        <f t="shared" si="21"/>
        <v>#N/A</v>
      </c>
      <c r="J750" s="9">
        <v>300</v>
      </c>
      <c r="K750" s="9">
        <v>140</v>
      </c>
      <c r="L750" s="9">
        <v>80</v>
      </c>
    </row>
    <row r="751" spans="1:12">
      <c r="A751" s="10">
        <v>0.80208333333334403</v>
      </c>
      <c r="B751" s="9" t="e">
        <f t="shared" si="21"/>
        <v>#N/A</v>
      </c>
      <c r="J751" s="9">
        <v>300</v>
      </c>
      <c r="K751" s="9">
        <v>140</v>
      </c>
      <c r="L751" s="9">
        <v>80</v>
      </c>
    </row>
    <row r="752" spans="1:12">
      <c r="A752" s="10">
        <v>0.81250000000001099</v>
      </c>
      <c r="B752" s="9" t="e">
        <f t="shared" si="21"/>
        <v>#N/A</v>
      </c>
      <c r="J752" s="9">
        <v>300</v>
      </c>
      <c r="K752" s="9">
        <v>140</v>
      </c>
      <c r="L752" s="9">
        <v>80</v>
      </c>
    </row>
    <row r="753" spans="1:12">
      <c r="A753" s="10">
        <v>0.82291666666667795</v>
      </c>
      <c r="B753" s="9" t="e">
        <f t="shared" si="21"/>
        <v>#N/A</v>
      </c>
      <c r="J753" s="9">
        <v>300</v>
      </c>
      <c r="K753" s="9">
        <v>140</v>
      </c>
      <c r="L753" s="9">
        <v>80</v>
      </c>
    </row>
    <row r="754" spans="1:12">
      <c r="A754" s="10">
        <v>0.83333333333334503</v>
      </c>
      <c r="B754" s="9" t="e">
        <f t="shared" si="21"/>
        <v>#N/A</v>
      </c>
      <c r="J754" s="9">
        <v>300</v>
      </c>
      <c r="K754" s="9">
        <v>140</v>
      </c>
      <c r="L754" s="9">
        <v>80</v>
      </c>
    </row>
    <row r="755" spans="1:12">
      <c r="A755" s="10">
        <v>0.84375000000001199</v>
      </c>
      <c r="B755" s="9" t="e">
        <f t="shared" si="21"/>
        <v>#N/A</v>
      </c>
      <c r="J755" s="9">
        <v>300</v>
      </c>
      <c r="K755" s="9">
        <v>140</v>
      </c>
      <c r="L755" s="9">
        <v>80</v>
      </c>
    </row>
    <row r="756" spans="1:12">
      <c r="A756" s="10">
        <v>0.85416666666667895</v>
      </c>
      <c r="B756" s="9" t="e">
        <f t="shared" si="21"/>
        <v>#N/A</v>
      </c>
      <c r="J756" s="9">
        <v>300</v>
      </c>
      <c r="K756" s="9">
        <v>140</v>
      </c>
      <c r="L756" s="9">
        <v>80</v>
      </c>
    </row>
    <row r="757" spans="1:12">
      <c r="A757" s="10">
        <v>0.86458333333334603</v>
      </c>
      <c r="B757" s="9" t="e">
        <f t="shared" si="21"/>
        <v>#N/A</v>
      </c>
      <c r="J757" s="9">
        <v>300</v>
      </c>
      <c r="K757" s="9">
        <v>140</v>
      </c>
      <c r="L757" s="9">
        <v>80</v>
      </c>
    </row>
    <row r="758" spans="1:12">
      <c r="A758" s="10">
        <v>0.87500000000001299</v>
      </c>
      <c r="B758" s="9" t="e">
        <f t="shared" si="21"/>
        <v>#N/A</v>
      </c>
      <c r="J758" s="9">
        <v>300</v>
      </c>
      <c r="K758" s="9">
        <v>140</v>
      </c>
      <c r="L758" s="9">
        <v>80</v>
      </c>
    </row>
    <row r="759" spans="1:12">
      <c r="A759" s="10">
        <v>0.88541666666667995</v>
      </c>
      <c r="B759" s="9" t="e">
        <f t="shared" si="21"/>
        <v>#N/A</v>
      </c>
      <c r="J759" s="9">
        <v>300</v>
      </c>
      <c r="K759" s="9">
        <v>140</v>
      </c>
      <c r="L759" s="9">
        <v>80</v>
      </c>
    </row>
    <row r="760" spans="1:12">
      <c r="A760" s="10">
        <v>0.89583333333334803</v>
      </c>
      <c r="B760" s="9" t="e">
        <f t="shared" si="21"/>
        <v>#N/A</v>
      </c>
      <c r="J760" s="9">
        <v>300</v>
      </c>
      <c r="K760" s="9">
        <v>140</v>
      </c>
      <c r="L760" s="9">
        <v>80</v>
      </c>
    </row>
    <row r="761" spans="1:12">
      <c r="A761" s="10">
        <v>0.90625000000001499</v>
      </c>
      <c r="B761" s="9" t="e">
        <f t="shared" si="21"/>
        <v>#N/A</v>
      </c>
      <c r="J761" s="9">
        <v>300</v>
      </c>
      <c r="K761" s="9">
        <v>140</v>
      </c>
      <c r="L761" s="9">
        <v>80</v>
      </c>
    </row>
    <row r="762" spans="1:12">
      <c r="A762" s="10">
        <v>0.91666666666668195</v>
      </c>
      <c r="B762" s="9" t="e">
        <f t="shared" si="21"/>
        <v>#N/A</v>
      </c>
      <c r="J762" s="9">
        <v>300</v>
      </c>
      <c r="K762" s="9">
        <v>140</v>
      </c>
      <c r="L762" s="9">
        <v>80</v>
      </c>
    </row>
    <row r="763" spans="1:12">
      <c r="A763" s="10">
        <v>0.92708333333334902</v>
      </c>
      <c r="B763" s="9" t="e">
        <f t="shared" ref="B763:B793" si="22">H67</f>
        <v>#N/A</v>
      </c>
      <c r="J763" s="9">
        <v>300</v>
      </c>
      <c r="K763" s="9">
        <v>140</v>
      </c>
      <c r="L763" s="9">
        <v>80</v>
      </c>
    </row>
    <row r="764" spans="1:12">
      <c r="A764" s="10">
        <v>0.93750000000001599</v>
      </c>
      <c r="B764" s="9" t="e">
        <f t="shared" si="22"/>
        <v>#N/A</v>
      </c>
      <c r="J764" s="9">
        <v>300</v>
      </c>
      <c r="K764" s="9">
        <v>140</v>
      </c>
      <c r="L764" s="9">
        <v>80</v>
      </c>
    </row>
    <row r="765" spans="1:12">
      <c r="A765" s="10">
        <v>0.94791666666668295</v>
      </c>
      <c r="B765" s="9" t="e">
        <f t="shared" si="22"/>
        <v>#N/A</v>
      </c>
      <c r="J765" s="9">
        <v>300</v>
      </c>
      <c r="K765" s="9">
        <v>140</v>
      </c>
      <c r="L765" s="9">
        <v>80</v>
      </c>
    </row>
    <row r="766" spans="1:12">
      <c r="A766" s="10">
        <v>0.95833333333335002</v>
      </c>
      <c r="B766" s="9" t="e">
        <f t="shared" si="22"/>
        <v>#N/A</v>
      </c>
      <c r="J766" s="9">
        <v>300</v>
      </c>
      <c r="K766" s="9">
        <v>140</v>
      </c>
      <c r="L766" s="9">
        <v>80</v>
      </c>
    </row>
    <row r="767" spans="1:12">
      <c r="A767" s="10">
        <v>0.96875000000001699</v>
      </c>
      <c r="B767" s="9" t="e">
        <f t="shared" si="22"/>
        <v>#N/A</v>
      </c>
      <c r="J767" s="9">
        <v>300</v>
      </c>
      <c r="K767" s="9">
        <v>140</v>
      </c>
      <c r="L767" s="9">
        <v>80</v>
      </c>
    </row>
    <row r="768" spans="1:12">
      <c r="A768" s="10">
        <v>0.97916666666668395</v>
      </c>
      <c r="B768" s="9" t="e">
        <f t="shared" si="22"/>
        <v>#N/A</v>
      </c>
      <c r="J768" s="9">
        <v>300</v>
      </c>
      <c r="K768" s="9">
        <v>140</v>
      </c>
      <c r="L768" s="9">
        <v>80</v>
      </c>
    </row>
    <row r="769" spans="1:12">
      <c r="A769" s="10">
        <v>0.98958333333335102</v>
      </c>
      <c r="B769" s="9" t="e">
        <f t="shared" si="22"/>
        <v>#N/A</v>
      </c>
      <c r="J769" s="9">
        <v>300</v>
      </c>
      <c r="K769" s="9">
        <v>140</v>
      </c>
      <c r="L769" s="9">
        <v>80</v>
      </c>
    </row>
    <row r="770" spans="1:12">
      <c r="A770" s="10">
        <v>1.00000000000002</v>
      </c>
      <c r="B770" s="9" t="e">
        <f t="shared" si="22"/>
        <v>#N/A</v>
      </c>
      <c r="J770" s="9">
        <v>300</v>
      </c>
      <c r="K770" s="9">
        <v>140</v>
      </c>
      <c r="L770" s="9">
        <v>80</v>
      </c>
    </row>
    <row r="771" spans="1:12">
      <c r="A771" s="10">
        <v>1.0104166666666801</v>
      </c>
      <c r="B771" s="9" t="e">
        <f t="shared" si="22"/>
        <v>#N/A</v>
      </c>
      <c r="J771" s="9">
        <v>300</v>
      </c>
      <c r="K771" s="9">
        <v>140</v>
      </c>
      <c r="L771" s="9">
        <v>80</v>
      </c>
    </row>
    <row r="772" spans="1:12">
      <c r="A772" s="10">
        <v>1.0208333333333499</v>
      </c>
      <c r="B772" s="9" t="e">
        <f t="shared" si="22"/>
        <v>#N/A</v>
      </c>
      <c r="J772" s="9">
        <v>300</v>
      </c>
      <c r="K772" s="9">
        <v>140</v>
      </c>
      <c r="L772" s="9">
        <v>80</v>
      </c>
    </row>
    <row r="773" spans="1:12">
      <c r="A773" s="10">
        <v>1.03125000000002</v>
      </c>
      <c r="B773" s="9" t="e">
        <f t="shared" si="22"/>
        <v>#N/A</v>
      </c>
      <c r="J773" s="9">
        <v>300</v>
      </c>
      <c r="K773" s="9">
        <v>140</v>
      </c>
      <c r="L773" s="9">
        <v>80</v>
      </c>
    </row>
    <row r="774" spans="1:12">
      <c r="A774" s="10">
        <v>1.0416666666666901</v>
      </c>
      <c r="B774" s="9" t="e">
        <f t="shared" si="22"/>
        <v>#N/A</v>
      </c>
      <c r="J774" s="9">
        <v>300</v>
      </c>
      <c r="K774" s="9">
        <v>140</v>
      </c>
      <c r="L774" s="9">
        <v>80</v>
      </c>
    </row>
    <row r="775" spans="1:12">
      <c r="A775" s="10">
        <v>1.0520833333333499</v>
      </c>
      <c r="B775" s="9" t="e">
        <f t="shared" si="22"/>
        <v>#N/A</v>
      </c>
      <c r="J775" s="9">
        <v>300</v>
      </c>
      <c r="K775" s="9">
        <v>140</v>
      </c>
      <c r="L775" s="9">
        <v>80</v>
      </c>
    </row>
    <row r="776" spans="1:12">
      <c r="A776" s="10">
        <v>1.06250000000002</v>
      </c>
      <c r="B776" s="9" t="e">
        <f t="shared" si="22"/>
        <v>#N/A</v>
      </c>
      <c r="J776" s="9">
        <v>300</v>
      </c>
      <c r="K776" s="9">
        <v>140</v>
      </c>
      <c r="L776" s="9">
        <v>80</v>
      </c>
    </row>
    <row r="777" spans="1:12">
      <c r="A777" s="10">
        <v>1.0729166666666901</v>
      </c>
      <c r="B777" s="9" t="e">
        <f t="shared" si="22"/>
        <v>#N/A</v>
      </c>
      <c r="J777" s="9">
        <v>300</v>
      </c>
      <c r="K777" s="9">
        <v>140</v>
      </c>
      <c r="L777" s="9">
        <v>80</v>
      </c>
    </row>
    <row r="778" spans="1:12">
      <c r="A778" s="10">
        <v>1.0833333333333499</v>
      </c>
      <c r="B778" s="9" t="e">
        <f t="shared" si="22"/>
        <v>#N/A</v>
      </c>
      <c r="J778" s="9">
        <v>300</v>
      </c>
      <c r="K778" s="9">
        <v>140</v>
      </c>
      <c r="L778" s="9">
        <v>80</v>
      </c>
    </row>
    <row r="779" spans="1:12">
      <c r="A779" s="10">
        <v>1.09375000000002</v>
      </c>
      <c r="B779" s="9" t="e">
        <f t="shared" si="22"/>
        <v>#N/A</v>
      </c>
      <c r="J779" s="9">
        <v>300</v>
      </c>
      <c r="K779" s="9">
        <v>140</v>
      </c>
      <c r="L779" s="9">
        <v>80</v>
      </c>
    </row>
    <row r="780" spans="1:12">
      <c r="A780" s="10">
        <v>1.1041666666666901</v>
      </c>
      <c r="B780" s="9" t="e">
        <f t="shared" si="22"/>
        <v>#N/A</v>
      </c>
      <c r="J780" s="9">
        <v>300</v>
      </c>
      <c r="K780" s="9">
        <v>140</v>
      </c>
      <c r="L780" s="9">
        <v>80</v>
      </c>
    </row>
    <row r="781" spans="1:12">
      <c r="A781" s="10">
        <v>1.1145833333333599</v>
      </c>
      <c r="B781" s="9" t="e">
        <f t="shared" si="22"/>
        <v>#N/A</v>
      </c>
      <c r="J781" s="9">
        <v>300</v>
      </c>
      <c r="K781" s="9">
        <v>140</v>
      </c>
      <c r="L781" s="9">
        <v>80</v>
      </c>
    </row>
    <row r="782" spans="1:12">
      <c r="A782" s="10">
        <v>1.12500000000002</v>
      </c>
      <c r="B782" s="9" t="e">
        <f t="shared" si="22"/>
        <v>#N/A</v>
      </c>
      <c r="J782" s="9">
        <v>300</v>
      </c>
      <c r="K782" s="9">
        <v>140</v>
      </c>
      <c r="L782" s="9">
        <v>80</v>
      </c>
    </row>
    <row r="783" spans="1:12">
      <c r="A783" s="10">
        <v>1.1354166666666901</v>
      </c>
      <c r="B783" s="9" t="e">
        <f t="shared" si="22"/>
        <v>#N/A</v>
      </c>
      <c r="J783" s="9">
        <v>300</v>
      </c>
      <c r="K783" s="9">
        <v>140</v>
      </c>
      <c r="L783" s="9">
        <v>80</v>
      </c>
    </row>
    <row r="784" spans="1:12">
      <c r="A784" s="10">
        <v>1.1458333333333599</v>
      </c>
      <c r="B784" s="9" t="e">
        <f t="shared" si="22"/>
        <v>#N/A</v>
      </c>
      <c r="J784" s="9">
        <v>300</v>
      </c>
      <c r="K784" s="9">
        <v>140</v>
      </c>
      <c r="L784" s="9">
        <v>80</v>
      </c>
    </row>
    <row r="785" spans="1:12">
      <c r="A785" s="10">
        <v>1.15625000000002</v>
      </c>
      <c r="B785" s="9" t="e">
        <f t="shared" si="22"/>
        <v>#N/A</v>
      </c>
      <c r="J785" s="9">
        <v>300</v>
      </c>
      <c r="K785" s="9">
        <v>140</v>
      </c>
      <c r="L785" s="9">
        <v>80</v>
      </c>
    </row>
    <row r="786" spans="1:12">
      <c r="A786" s="10">
        <v>1.1666666666666901</v>
      </c>
      <c r="B786" s="9" t="e">
        <f t="shared" si="22"/>
        <v>#N/A</v>
      </c>
      <c r="J786" s="9">
        <v>300</v>
      </c>
      <c r="K786" s="9">
        <v>140</v>
      </c>
      <c r="L786" s="9">
        <v>80</v>
      </c>
    </row>
    <row r="787" spans="1:12">
      <c r="A787" s="10">
        <v>1.1770833333333599</v>
      </c>
      <c r="B787" s="9" t="e">
        <f t="shared" si="22"/>
        <v>#N/A</v>
      </c>
      <c r="J787" s="9">
        <v>300</v>
      </c>
      <c r="K787" s="9">
        <v>140</v>
      </c>
      <c r="L787" s="9">
        <v>80</v>
      </c>
    </row>
    <row r="788" spans="1:12">
      <c r="A788" s="10">
        <v>1.18750000000003</v>
      </c>
      <c r="B788" s="9" t="e">
        <f t="shared" si="22"/>
        <v>#N/A</v>
      </c>
      <c r="J788" s="9">
        <v>300</v>
      </c>
      <c r="K788" s="9">
        <v>140</v>
      </c>
      <c r="L788" s="9">
        <v>80</v>
      </c>
    </row>
    <row r="789" spans="1:12">
      <c r="A789" s="10">
        <v>1.1979166666666901</v>
      </c>
      <c r="B789" s="9" t="e">
        <f t="shared" si="22"/>
        <v>#N/A</v>
      </c>
      <c r="J789" s="9">
        <v>300</v>
      </c>
      <c r="K789" s="9">
        <v>140</v>
      </c>
      <c r="L789" s="9">
        <v>80</v>
      </c>
    </row>
    <row r="790" spans="1:12">
      <c r="A790" s="10">
        <v>1.2083333333333599</v>
      </c>
      <c r="B790" s="9" t="e">
        <f t="shared" si="22"/>
        <v>#N/A</v>
      </c>
      <c r="J790" s="9">
        <v>300</v>
      </c>
      <c r="K790" s="9">
        <v>140</v>
      </c>
      <c r="L790" s="9">
        <v>80</v>
      </c>
    </row>
    <row r="791" spans="1:12">
      <c r="A791" s="10">
        <v>1.21875000000003</v>
      </c>
      <c r="B791" s="9" t="e">
        <f t="shared" si="22"/>
        <v>#N/A</v>
      </c>
      <c r="J791" s="9">
        <v>300</v>
      </c>
      <c r="K791" s="9">
        <v>140</v>
      </c>
      <c r="L791" s="9">
        <v>80</v>
      </c>
    </row>
    <row r="792" spans="1:12">
      <c r="A792" s="10">
        <v>1.2291666666666901</v>
      </c>
      <c r="B792" s="9" t="e">
        <f t="shared" si="22"/>
        <v>#N/A</v>
      </c>
      <c r="J792" s="9">
        <v>300</v>
      </c>
      <c r="K792" s="9">
        <v>140</v>
      </c>
      <c r="L792" s="9">
        <v>80</v>
      </c>
    </row>
    <row r="793" spans="1:12">
      <c r="A793" s="10">
        <v>1.2395833333333599</v>
      </c>
      <c r="B793" s="9" t="e">
        <f t="shared" si="22"/>
        <v>#N/A</v>
      </c>
      <c r="J793" s="9">
        <v>300</v>
      </c>
      <c r="K793" s="9">
        <v>140</v>
      </c>
      <c r="L793" s="9">
        <v>80</v>
      </c>
    </row>
  </sheetData>
  <mergeCells count="2">
    <mergeCell ref="R1:U1"/>
    <mergeCell ref="W1:X1"/>
  </mergeCells>
  <phoneticPr fontId="3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 enableFormatConditionsCalculation="0">
    <tabColor indexed="9"/>
  </sheetPr>
  <dimension ref="B2:J44"/>
  <sheetViews>
    <sheetView showGridLines="0" workbookViewId="0">
      <selection activeCell="Q52" sqref="Q52"/>
    </sheetView>
  </sheetViews>
  <sheetFormatPr defaultRowHeight="12.75"/>
  <sheetData>
    <row r="2" spans="2:4">
      <c r="B2" s="51" t="s">
        <v>46</v>
      </c>
      <c r="C2" s="50"/>
      <c r="D2" s="50"/>
    </row>
    <row r="3" spans="2:4">
      <c r="B3" t="s">
        <v>105</v>
      </c>
    </row>
    <row r="4" spans="2:4">
      <c r="B4" t="s">
        <v>74</v>
      </c>
    </row>
    <row r="5" spans="2:4">
      <c r="B5" t="s">
        <v>106</v>
      </c>
    </row>
    <row r="7" spans="2:4">
      <c r="B7" s="51" t="s">
        <v>47</v>
      </c>
      <c r="C7" s="50"/>
      <c r="D7" s="50"/>
    </row>
    <row r="8" spans="2:4">
      <c r="B8" t="s">
        <v>107</v>
      </c>
    </row>
    <row r="9" spans="2:4">
      <c r="B9" t="s">
        <v>108</v>
      </c>
    </row>
    <row r="10" spans="2:4">
      <c r="B10" t="s">
        <v>48</v>
      </c>
    </row>
    <row r="12" spans="2:4">
      <c r="B12" t="s">
        <v>49</v>
      </c>
    </row>
    <row r="13" spans="2:4">
      <c r="B13" t="s">
        <v>50</v>
      </c>
    </row>
    <row r="14" spans="2:4">
      <c r="B14" t="s">
        <v>51</v>
      </c>
    </row>
    <row r="15" spans="2:4">
      <c r="B15" t="s">
        <v>52</v>
      </c>
    </row>
    <row r="17" spans="2:2">
      <c r="B17" t="s">
        <v>109</v>
      </c>
    </row>
    <row r="18" spans="2:2">
      <c r="B18" t="s">
        <v>53</v>
      </c>
    </row>
    <row r="20" spans="2:2">
      <c r="B20" t="s">
        <v>79</v>
      </c>
    </row>
    <row r="21" spans="2:2">
      <c r="B21" t="s">
        <v>80</v>
      </c>
    </row>
    <row r="22" spans="2:2">
      <c r="B22" t="s">
        <v>110</v>
      </c>
    </row>
    <row r="23" spans="2:2">
      <c r="B23" t="s">
        <v>81</v>
      </c>
    </row>
    <row r="25" spans="2:2">
      <c r="B25" t="s">
        <v>78</v>
      </c>
    </row>
    <row r="26" spans="2:2">
      <c r="B26" t="s">
        <v>82</v>
      </c>
    </row>
    <row r="27" spans="2:2">
      <c r="B27" t="s">
        <v>102</v>
      </c>
    </row>
    <row r="28" spans="2:2">
      <c r="B28" t="s">
        <v>103</v>
      </c>
    </row>
    <row r="30" spans="2:2">
      <c r="B30" t="s">
        <v>54</v>
      </c>
    </row>
    <row r="32" spans="2:2">
      <c r="B32" s="69" t="s">
        <v>75</v>
      </c>
    </row>
    <row r="33" spans="2:10">
      <c r="B33" s="70" t="s">
        <v>76</v>
      </c>
    </row>
    <row r="34" spans="2:10">
      <c r="B34" s="52" t="s">
        <v>77</v>
      </c>
    </row>
    <row r="37" spans="2:10">
      <c r="B37" t="s">
        <v>84</v>
      </c>
      <c r="H37" t="s">
        <v>111</v>
      </c>
      <c r="J37" s="52" t="s">
        <v>112</v>
      </c>
    </row>
    <row r="38" spans="2:10">
      <c r="H38" t="s">
        <v>113</v>
      </c>
      <c r="J38" s="52" t="s">
        <v>114</v>
      </c>
    </row>
    <row r="39" spans="2:10">
      <c r="H39" t="s">
        <v>115</v>
      </c>
      <c r="J39" s="52" t="s">
        <v>116</v>
      </c>
    </row>
    <row r="40" spans="2:10">
      <c r="H40" t="s">
        <v>85</v>
      </c>
      <c r="J40" s="52" t="s">
        <v>117</v>
      </c>
    </row>
    <row r="43" spans="2:10">
      <c r="B43" s="85" t="s">
        <v>86</v>
      </c>
    </row>
    <row r="44" spans="2:10">
      <c r="B44" t="s">
        <v>87</v>
      </c>
    </row>
  </sheetData>
  <phoneticPr fontId="3" type="noConversion"/>
  <hyperlinks>
    <hyperlink ref="B33" r:id="rId1" display="kevin_perese@yahoo.com"/>
    <hyperlink ref="B34" r:id="rId2"/>
    <hyperlink ref="J37" r:id="rId3"/>
    <hyperlink ref="J38" r:id="rId4"/>
    <hyperlink ref="J39" r:id="rId5"/>
    <hyperlink ref="J40" r:id="rId6"/>
  </hyperlinks>
  <pageMargins left="0.75" right="0.75" top="1" bottom="1" header="0.5" footer="0.5"/>
  <pageSetup orientation="portrait" r:id="rId7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Mon</vt:lpstr>
      <vt:lpstr>Tues</vt:lpstr>
      <vt:lpstr>Wed</vt:lpstr>
      <vt:lpstr>Thurs</vt:lpstr>
      <vt:lpstr> Fri </vt:lpstr>
      <vt:lpstr>Sat</vt:lpstr>
      <vt:lpstr>Sun</vt:lpstr>
      <vt:lpstr>Weekday Avg</vt:lpstr>
      <vt:lpstr>Weekday Lines</vt:lpstr>
      <vt:lpstr>Weekend Avg</vt:lpstr>
      <vt:lpstr>Week Avg</vt:lpstr>
      <vt:lpstr>Week Line</vt:lpstr>
      <vt:lpstr>Data</vt:lpstr>
      <vt:lpstr>ReadMe</vt:lpstr>
      <vt:lpstr>Pie Time</vt:lpstr>
      <vt:lpstr>Pie All</vt:lpstr>
      <vt:lpstr>Basal Rates</vt:lpstr>
      <vt:lpstr>' Fri '!Print_Area</vt:lpstr>
      <vt:lpstr>Mon!Print_Area</vt:lpstr>
      <vt:lpstr>Sat!Print_Area</vt:lpstr>
      <vt:lpstr>Sun!Print_Area</vt:lpstr>
      <vt:lpstr>Thurs!Print_Area</vt:lpstr>
      <vt:lpstr>Tues!Print_Area</vt:lpstr>
      <vt:lpstr>Wed!Print_Area</vt:lpstr>
    </vt:vector>
  </TitlesOfParts>
  <Company>Congressional Budget Office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kevinp</dc:creator>
  <cp:lastModifiedBy>kevinp</cp:lastModifiedBy>
  <cp:lastPrinted>2006-06-21T21:04:06Z</cp:lastPrinted>
  <dcterms:created xsi:type="dcterms:W3CDTF">2006-03-22T15:05:40Z</dcterms:created>
  <dcterms:modified xsi:type="dcterms:W3CDTF">2010-03-11T14:05:30Z</dcterms:modified>
</cp:coreProperties>
</file>